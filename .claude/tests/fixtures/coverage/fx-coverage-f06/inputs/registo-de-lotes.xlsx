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  <sheet xmlns:r="http://schemas.openxmlformats.org/officeDocument/2006/relationships" name="Resumo de Lotes" sheetId="2" state="visible" r:id="rId2"/>
    <sheet xmlns:r="http://schemas.openxmlformats.org/officeDocument/2006/relationships" name="Resumo Aditivos" sheetId="3" state="visible" r:id="rId3"/>
    <sheet xmlns:r="http://schemas.openxmlformats.org/officeDocument/2006/relationships" name="Parametros" sheetId="4" state="visible" r:id="rId4"/>
  </sheets>
  <definedNames>
    <definedName name="Factor_Resultado">Parametros!$B$2</definedName>
    <definedName name="Base_Aditivo">Parametros!$B$3</definedName>
    <definedName name="Lote_Lista">Entradas!$B$2:$B$13</definedName>
    <definedName name="Custo_Posto_D">Entradas!$I$2:$I$13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Lote</t>
        </is>
      </c>
      <c r="C1" t="inlineStr">
        <is>
          <t>Produto</t>
        </is>
      </c>
      <c r="D1" t="inlineStr">
        <is>
          <t>ValorMedido</t>
        </is>
      </c>
      <c r="E1" t="inlineStr">
        <is>
          <t>Operador</t>
        </is>
      </c>
      <c r="F1" t="inlineStr">
        <is>
          <t>Custo_Posto_A</t>
        </is>
      </c>
      <c r="G1" t="inlineStr">
        <is>
          <t>Custo_Posto_B</t>
        </is>
      </c>
      <c r="H1" t="inlineStr">
        <is>
          <t>Custo_Posto_C</t>
        </is>
      </c>
    </row>
    <row r="2">
      <c r="A2" t="inlineStr">
        <is>
          <t>2026-01-01</t>
        </is>
      </c>
      <c r="B2" t="inlineStr">
        <is>
          <t>L001</t>
        </is>
      </c>
      <c r="C2" t="inlineStr">
        <is>
          <t>P-1</t>
        </is>
      </c>
      <c r="D2" t="n">
        <v>10.5</v>
      </c>
      <c r="E2" t="inlineStr">
        <is>
          <t>op1</t>
        </is>
      </c>
      <c r="F2" t="n">
        <v>5</v>
      </c>
      <c r="G2" t="n">
        <v>5.5</v>
      </c>
      <c r="H2" t="n">
        <v>6</v>
      </c>
    </row>
    <row r="3">
      <c r="A3" t="inlineStr">
        <is>
          <t>2026-01-02</t>
        </is>
      </c>
      <c r="B3" t="inlineStr">
        <is>
          <t>L002</t>
        </is>
      </c>
      <c r="C3" t="inlineStr">
        <is>
          <t>P-2</t>
        </is>
      </c>
      <c r="D3" t="n">
        <v>11</v>
      </c>
      <c r="E3" t="inlineStr">
        <is>
          <t>op2</t>
        </is>
      </c>
      <c r="F3" t="n">
        <v>6</v>
      </c>
      <c r="G3" t="n">
        <v>6.5</v>
      </c>
      <c r="H3" t="n">
        <v>7</v>
      </c>
    </row>
    <row r="4">
      <c r="A4" t="inlineStr">
        <is>
          <t>2026-01-03</t>
        </is>
      </c>
      <c r="B4" t="inlineStr">
        <is>
          <t>L003</t>
        </is>
      </c>
      <c r="C4" t="inlineStr">
        <is>
          <t>P-1</t>
        </is>
      </c>
      <c r="D4" t="n">
        <v>11.5</v>
      </c>
      <c r="E4" t="inlineStr">
        <is>
          <t>op0</t>
        </is>
      </c>
      <c r="F4" t="n">
        <v>7</v>
      </c>
      <c r="G4" t="n">
        <v>7.5</v>
      </c>
      <c r="H4" t="n">
        <v>8</v>
      </c>
    </row>
    <row r="5">
      <c r="A5" t="inlineStr">
        <is>
          <t>2026-01-04</t>
        </is>
      </c>
      <c r="B5" t="inlineStr">
        <is>
          <t>L004</t>
        </is>
      </c>
      <c r="C5" t="inlineStr">
        <is>
          <t>P-2</t>
        </is>
      </c>
      <c r="D5" t="n">
        <v>12</v>
      </c>
      <c r="E5" t="inlineStr">
        <is>
          <t>op1</t>
        </is>
      </c>
      <c r="F5" t="n">
        <v>8</v>
      </c>
      <c r="G5" t="n">
        <v>8.5</v>
      </c>
      <c r="H5" t="n">
        <v>9</v>
      </c>
    </row>
    <row r="6">
      <c r="A6" t="inlineStr">
        <is>
          <t>2026-01-05</t>
        </is>
      </c>
      <c r="B6" t="inlineStr">
        <is>
          <t>L005</t>
        </is>
      </c>
      <c r="C6" t="inlineStr">
        <is>
          <t>P-1</t>
        </is>
      </c>
      <c r="D6" t="n">
        <v>12.5</v>
      </c>
      <c r="E6" t="inlineStr">
        <is>
          <t>op2</t>
        </is>
      </c>
      <c r="F6" t="n">
        <v>9</v>
      </c>
      <c r="G6" t="n">
        <v>9.5</v>
      </c>
      <c r="H6" t="n">
        <v>10</v>
      </c>
    </row>
    <row r="7">
      <c r="A7" t="inlineStr">
        <is>
          <t>2026-01-06</t>
        </is>
      </c>
      <c r="B7" t="inlineStr">
        <is>
          <t>L006</t>
        </is>
      </c>
      <c r="C7" t="inlineStr">
        <is>
          <t>P-2</t>
        </is>
      </c>
      <c r="D7" t="n">
        <v>13</v>
      </c>
      <c r="E7" t="inlineStr">
        <is>
          <t>op0</t>
        </is>
      </c>
      <c r="F7" t="n">
        <v>10</v>
      </c>
      <c r="G7" t="n">
        <v>10.5</v>
      </c>
      <c r="H7" t="n">
        <v>11</v>
      </c>
    </row>
    <row r="8">
      <c r="A8" t="inlineStr">
        <is>
          <t>2026-01-07</t>
        </is>
      </c>
      <c r="B8" t="inlineStr">
        <is>
          <t>L007</t>
        </is>
      </c>
      <c r="C8" t="inlineStr">
        <is>
          <t>P-1</t>
        </is>
      </c>
      <c r="D8" t="n">
        <v>13.5</v>
      </c>
      <c r="E8" t="inlineStr">
        <is>
          <t>op1</t>
        </is>
      </c>
      <c r="F8" t="n">
        <v>11</v>
      </c>
      <c r="G8" t="n">
        <v>11.5</v>
      </c>
      <c r="H8" t="n">
        <v>12</v>
      </c>
    </row>
    <row r="9">
      <c r="A9" t="inlineStr">
        <is>
          <t>2026-01-08</t>
        </is>
      </c>
      <c r="B9" t="inlineStr">
        <is>
          <t>L008</t>
        </is>
      </c>
      <c r="C9" t="inlineStr">
        <is>
          <t>P-2</t>
        </is>
      </c>
      <c r="D9" t="n">
        <v>14</v>
      </c>
      <c r="E9" t="inlineStr">
        <is>
          <t>op2</t>
        </is>
      </c>
      <c r="F9" t="n">
        <v>12</v>
      </c>
      <c r="G9" t="n">
        <v>12.5</v>
      </c>
      <c r="H9" t="n">
        <v>13</v>
      </c>
    </row>
    <row r="10">
      <c r="A10" t="inlineStr">
        <is>
          <t>2026-01-09</t>
        </is>
      </c>
      <c r="B10" t="inlineStr">
        <is>
          <t>L009</t>
        </is>
      </c>
      <c r="C10" t="inlineStr">
        <is>
          <t>P-1</t>
        </is>
      </c>
      <c r="D10" t="n">
        <v>14.5</v>
      </c>
      <c r="E10" t="inlineStr">
        <is>
          <t>op0</t>
        </is>
      </c>
      <c r="F10" t="n">
        <v>13</v>
      </c>
      <c r="G10" t="n">
        <v>13.5</v>
      </c>
      <c r="H10" t="n">
        <v>14</v>
      </c>
    </row>
    <row r="11">
      <c r="A11" t="inlineStr">
        <is>
          <t>2026-01-10</t>
        </is>
      </c>
      <c r="B11" t="inlineStr">
        <is>
          <t>L010</t>
        </is>
      </c>
      <c r="C11" t="inlineStr">
        <is>
          <t>P-2</t>
        </is>
      </c>
      <c r="D11" t="n">
        <v>15</v>
      </c>
      <c r="E11" t="inlineStr">
        <is>
          <t>op1</t>
        </is>
      </c>
      <c r="F11" t="n">
        <v>14</v>
      </c>
      <c r="G11" t="n">
        <v>14.5</v>
      </c>
      <c r="H11" t="n">
        <v>15</v>
      </c>
    </row>
    <row r="12">
      <c r="A12" t="inlineStr">
        <is>
          <t>2026-01-11</t>
        </is>
      </c>
      <c r="B12" t="inlineStr">
        <is>
          <t>L011</t>
        </is>
      </c>
      <c r="C12" t="inlineStr">
        <is>
          <t>P-1</t>
        </is>
      </c>
      <c r="D12" t="n">
        <v>15.5</v>
      </c>
      <c r="E12" t="inlineStr">
        <is>
          <t>op2</t>
        </is>
      </c>
      <c r="F12" t="n">
        <v>15</v>
      </c>
      <c r="G12" t="n">
        <v>15.5</v>
      </c>
      <c r="H12" t="n">
        <v>16</v>
      </c>
    </row>
    <row r="13">
      <c r="A13" t="inlineStr">
        <is>
          <t>2026-01-12</t>
        </is>
      </c>
      <c r="B13" t="inlineStr">
        <is>
          <t>L012</t>
        </is>
      </c>
      <c r="C13" t="inlineStr">
        <is>
          <t>P-2</t>
        </is>
      </c>
      <c r="D13" t="n">
        <v>16</v>
      </c>
      <c r="E13" t="inlineStr">
        <is>
          <t>op0</t>
        </is>
      </c>
      <c r="F13" t="n">
        <v>16</v>
      </c>
      <c r="G13" t="n">
        <v>16.5</v>
      </c>
      <c r="H1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Lote</t>
        </is>
      </c>
      <c r="C1" t="inlineStr">
        <is>
          <t>Resultado</t>
        </is>
      </c>
      <c r="D1" t="inlineStr">
        <is>
          <t>Estado</t>
        </is>
      </c>
    </row>
    <row r="2">
      <c r="A2">
        <f>Entradas!A2</f>
        <v/>
      </c>
      <c r="B2">
        <f>Entradas!B2</f>
        <v/>
      </c>
      <c r="C2">
        <f>Entradas!D%d*Parametros!$B$2</f>
        <v/>
      </c>
      <c r="D2" t="inlineStr">
        <is>
          <t>Libertado</t>
        </is>
      </c>
    </row>
    <row r="3">
      <c r="A3">
        <f>Entradas!A3</f>
        <v/>
      </c>
      <c r="B3">
        <f>Entradas!B3</f>
        <v/>
      </c>
      <c r="C3">
        <f>Entradas!D%d*Parametros!$B$2</f>
        <v/>
      </c>
      <c r="D3" t="inlineStr">
        <is>
          <t>Libertado</t>
        </is>
      </c>
    </row>
    <row r="4">
      <c r="A4">
        <f>Entradas!A4</f>
        <v/>
      </c>
      <c r="B4">
        <f>Entradas!B4</f>
        <v/>
      </c>
      <c r="C4">
        <f>Entradas!D%d*Parametros!$B$2</f>
        <v/>
      </c>
      <c r="D4" t="inlineStr">
        <is>
          <t>Libertado</t>
        </is>
      </c>
    </row>
    <row r="5">
      <c r="A5">
        <f>Entradas!A5</f>
        <v/>
      </c>
      <c r="B5">
        <f>Entradas!B5</f>
        <v/>
      </c>
      <c r="C5">
        <f>Entradas!D%d*Parametros!$B$2</f>
        <v/>
      </c>
      <c r="D5" t="inlineStr">
        <is>
          <t>Libertado</t>
        </is>
      </c>
    </row>
    <row r="6">
      <c r="A6">
        <f>Entradas!A6</f>
        <v/>
      </c>
      <c r="B6">
        <f>Entradas!B6</f>
        <v/>
      </c>
      <c r="C6">
        <f>Entradas!D%d*Parametros!$B$2</f>
        <v/>
      </c>
      <c r="D6" t="inlineStr">
        <is>
          <t>Libertado</t>
        </is>
      </c>
    </row>
    <row r="7">
      <c r="A7">
        <f>Entradas!A7</f>
        <v/>
      </c>
      <c r="B7">
        <f>Entradas!B7</f>
        <v/>
      </c>
      <c r="C7">
        <f>Entradas!D%d*Parametros!$B$2</f>
        <v/>
      </c>
      <c r="D7" t="inlineStr">
        <is>
          <t>Libertado</t>
        </is>
      </c>
    </row>
    <row r="8">
      <c r="A8">
        <f>Entradas!A8</f>
        <v/>
      </c>
      <c r="B8">
        <f>Entradas!B8</f>
        <v/>
      </c>
      <c r="C8">
        <f>Entradas!D%d*Parametros!$B$2</f>
        <v/>
      </c>
      <c r="D8" t="inlineStr">
        <is>
          <t>Libertado</t>
        </is>
      </c>
    </row>
    <row r="9">
      <c r="A9">
        <f>Entradas!A9</f>
        <v/>
      </c>
      <c r="B9">
        <f>Entradas!B9</f>
        <v/>
      </c>
      <c r="C9">
        <f>Entradas!D%d*Parametros!$B$2</f>
        <v/>
      </c>
      <c r="D9" t="inlineStr">
        <is>
          <t>Libertado</t>
        </is>
      </c>
    </row>
    <row r="10">
      <c r="A10">
        <f>Entradas!A10</f>
        <v/>
      </c>
      <c r="B10">
        <f>Entradas!B10</f>
        <v/>
      </c>
      <c r="C10">
        <f>Entradas!D%d*Parametros!$B$2</f>
        <v/>
      </c>
      <c r="D10" t="inlineStr">
        <is>
          <t>Libertado</t>
        </is>
      </c>
    </row>
    <row r="11">
      <c r="A11">
        <f>Entradas!A11</f>
        <v/>
      </c>
      <c r="B11">
        <f>Entradas!B11</f>
        <v/>
      </c>
      <c r="C11">
        <f>Entradas!D%d*Parametros!$B$2</f>
        <v/>
      </c>
      <c r="D11" t="inlineStr">
        <is>
          <t>Libertado</t>
        </is>
      </c>
    </row>
    <row r="12">
      <c r="A12">
        <f>Entradas!A12</f>
        <v/>
      </c>
      <c r="B12">
        <f>Entradas!B12</f>
        <v/>
      </c>
      <c r="C12">
        <f>Entradas!D%d*Parametros!$B$2</f>
        <v/>
      </c>
      <c r="D12" t="inlineStr">
        <is>
          <t>Libertado</t>
        </is>
      </c>
    </row>
    <row r="13">
      <c r="A13">
        <f>Entradas!A13</f>
        <v/>
      </c>
      <c r="B13">
        <f>Entradas!B13</f>
        <v/>
      </c>
      <c r="C13">
        <f>Entradas!D%d*Parametros!$B$2</f>
        <v/>
      </c>
      <c r="D13" t="inlineStr">
        <is>
          <t>Libertado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Lote</t>
        </is>
      </c>
      <c r="C1" t="inlineStr">
        <is>
          <t>Aditivo</t>
        </is>
      </c>
      <c r="D1" t="inlineStr">
        <is>
          <t>Percentagem</t>
        </is>
      </c>
    </row>
    <row r="2">
      <c r="A2">
        <f>Entradas!A2</f>
        <v/>
      </c>
      <c r="B2">
        <f>Entradas!B2</f>
        <v/>
      </c>
      <c r="C2" t="inlineStr">
        <is>
          <t>AD-1</t>
        </is>
      </c>
      <c r="D2">
        <f>Entradas!D2/Parametros!$B$3</f>
        <v/>
      </c>
    </row>
    <row r="3">
      <c r="A3">
        <f>Entradas!A3</f>
        <v/>
      </c>
      <c r="B3">
        <f>Entradas!B3</f>
        <v/>
      </c>
      <c r="C3" t="inlineStr">
        <is>
          <t>AD-1</t>
        </is>
      </c>
      <c r="D3">
        <f>Entradas!D3/Parametros!$B$3</f>
        <v/>
      </c>
    </row>
    <row r="4">
      <c r="A4">
        <f>Entradas!A4</f>
        <v/>
      </c>
      <c r="B4">
        <f>Entradas!B4</f>
        <v/>
      </c>
      <c r="C4" t="inlineStr">
        <is>
          <t>AD-1</t>
        </is>
      </c>
      <c r="D4">
        <f>Entradas!D4/Parametros!$B$3</f>
        <v/>
      </c>
    </row>
    <row r="5">
      <c r="A5">
        <f>Entradas!A5</f>
        <v/>
      </c>
      <c r="B5">
        <f>Entradas!B5</f>
        <v/>
      </c>
      <c r="C5" t="inlineStr">
        <is>
          <t>AD-1</t>
        </is>
      </c>
      <c r="D5">
        <f>Entradas!D5/Parametros!$B$3</f>
        <v/>
      </c>
    </row>
    <row r="6">
      <c r="A6">
        <f>Entradas!A6</f>
        <v/>
      </c>
      <c r="B6">
        <f>Entradas!B6</f>
        <v/>
      </c>
      <c r="C6" t="inlineStr">
        <is>
          <t>AD-1</t>
        </is>
      </c>
      <c r="D6">
        <f>Entradas!D6/Parametros!$B$3</f>
        <v/>
      </c>
    </row>
    <row r="7">
      <c r="A7">
        <f>Entradas!A7</f>
        <v/>
      </c>
      <c r="B7">
        <f>Entradas!B7</f>
        <v/>
      </c>
      <c r="C7" t="inlineStr">
        <is>
          <t>AD-1</t>
        </is>
      </c>
      <c r="D7">
        <f>Entradas!D7/Parametros!$B$3</f>
        <v/>
      </c>
    </row>
    <row r="8">
      <c r="A8">
        <f>Entradas!A8</f>
        <v/>
      </c>
      <c r="B8">
        <f>Entradas!B8</f>
        <v/>
      </c>
      <c r="C8" t="inlineStr">
        <is>
          <t>AD-1</t>
        </is>
      </c>
      <c r="D8">
        <f>Entradas!D8/Parametros!$B$3</f>
        <v/>
      </c>
    </row>
    <row r="9">
      <c r="A9">
        <f>Entradas!A9</f>
        <v/>
      </c>
      <c r="B9">
        <f>Entradas!B9</f>
        <v/>
      </c>
      <c r="C9" t="inlineStr">
        <is>
          <t>AD-1</t>
        </is>
      </c>
      <c r="D9">
        <f>Entradas!D9/Parametros!$B$3</f>
        <v/>
      </c>
    </row>
    <row r="10">
      <c r="A10">
        <f>Entradas!A10</f>
        <v/>
      </c>
      <c r="B10">
        <f>Entradas!B10</f>
        <v/>
      </c>
      <c r="C10" t="inlineStr">
        <is>
          <t>AD-1</t>
        </is>
      </c>
      <c r="D10">
        <f>Entradas!D10/Parametros!$B$3</f>
        <v/>
      </c>
    </row>
    <row r="11">
      <c r="A11">
        <f>Entradas!A11</f>
        <v/>
      </c>
      <c r="B11">
        <f>Entradas!B11</f>
        <v/>
      </c>
      <c r="C11" t="inlineStr">
        <is>
          <t>AD-1</t>
        </is>
      </c>
      <c r="D11">
        <f>Entradas!D11/Parametros!$B$3</f>
        <v/>
      </c>
    </row>
    <row r="12">
      <c r="A12">
        <f>Entradas!A12</f>
        <v/>
      </c>
      <c r="B12">
        <f>Entradas!B12</f>
        <v/>
      </c>
      <c r="C12" t="inlineStr">
        <is>
          <t>AD-1</t>
        </is>
      </c>
      <c r="D12">
        <f>Entradas!D12/Parametros!$B$3</f>
        <v/>
      </c>
    </row>
    <row r="13">
      <c r="A13">
        <f>Entradas!A13</f>
        <v/>
      </c>
      <c r="B13">
        <f>Entradas!B13</f>
        <v/>
      </c>
      <c r="C13" t="inlineStr">
        <is>
          <t>AD-1</t>
        </is>
      </c>
      <c r="D13">
        <f>Entradas!D13/Parametros!$B$3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factor_resultado</t>
        </is>
      </c>
      <c r="B2" t="n">
        <v>1.2</v>
      </c>
    </row>
    <row r="3">
      <c r="A3" t="inlineStr">
        <is>
          <t>base_aditivo</t>
        </is>
      </c>
      <c r="B3" t="n">
        <v>40</v>
      </c>
    </row>
    <row r="4">
      <c r="A4" t="inlineStr">
        <is>
          <t>limite_alerta</t>
        </is>
      </c>
      <c r="B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2026-09-14T22:15:50Z</dcterms:created>
  <dcterms:modified xmlns:dcterms="http://purl.org/dc/terms/" xmlns:xsi="http://www.w3.org/2001/XMLSchema-instance" xsi:type="dcterms:W3CDTF">2026-09-14T22:15:50Z</dcterms:modified>
</cp:coreProperties>
</file>