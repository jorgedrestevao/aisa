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Layout" sheetId="3" state="visible" r:id="rId3"/>
  </sheets>
  <definedNames>
    <definedName name="Serie_A">Feed!$B$2:$B$6</definedName>
    <definedName name="Custo_PortoNorte">Calc!$D$2:$D$2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Cotação (add-in)</t>
        </is>
      </c>
    </row>
    <row r="2">
      <c r="A2" t="inlineStr">
        <is>
          <t>2026-08-01</t>
        </is>
      </c>
      <c r="B2">
        <f>_xll.Feed.GvDaily("#SERIE_A", A2, "daily")</f>
        <v/>
      </c>
    </row>
    <row r="3">
      <c r="A3" t="inlineStr">
        <is>
          <t>2026-08-02</t>
        </is>
      </c>
      <c r="B3">
        <f>_xll.Feed.GvDaily("#SERIE_A", A3, "daily")</f>
        <v/>
      </c>
    </row>
    <row r="4">
      <c r="A4" t="inlineStr">
        <is>
          <t>2026-08-03</t>
        </is>
      </c>
      <c r="B4">
        <f>_xll.Feed.GvDaily("#SERIE_A", A4, "daily")</f>
        <v/>
      </c>
    </row>
    <row r="5">
      <c r="A5" t="inlineStr">
        <is>
          <t>2026-08-04</t>
        </is>
      </c>
      <c r="B5">
        <f>_xll.Feed.GvDaily("#SERIE_A", A5, "daily")</f>
        <v/>
      </c>
    </row>
    <row r="6">
      <c r="A6" t="inlineStr">
        <is>
          <t>2026-08-05</t>
        </is>
      </c>
      <c r="B6">
        <f>_xll.Feed.GvDaily("#SERIE_A", A6, "daily")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Valor</t>
        </is>
      </c>
      <c r="D1" t="inlineStr">
        <is>
          <t>Custo Porto Norte</t>
        </is>
      </c>
    </row>
    <row r="2">
      <c r="A2" t="inlineStr">
        <is>
          <t>Média do feed</t>
        </is>
      </c>
      <c r="B2">
        <f>AVERAGE(Serie_A)</f>
        <v/>
      </c>
      <c r="D2" t="n">
        <v>30</v>
      </c>
    </row>
    <row r="3">
      <c r="A3" t="inlineStr">
        <is>
          <t>Prémio</t>
        </is>
      </c>
      <c r="B3" t="n">
        <v>12</v>
      </c>
    </row>
    <row r="4">
      <c r="A4" t="inlineStr">
        <is>
          <t>Tarifa externa</t>
        </is>
      </c>
      <c r="B4">
        <f>'[precos-externos.xlsx]Tarifas'!B2</f>
        <v/>
      </c>
    </row>
    <row r="5">
      <c r="A5" t="inlineStr">
        <is>
          <t>Custo_PortoNorte</t>
        </is>
      </c>
      <c r="B5">
        <f>INDIRECT(A5)</f>
        <v/>
      </c>
    </row>
    <row r="6">
      <c r="A6" t="inlineStr">
        <is>
          <t>Custo (nome fixo)</t>
        </is>
      </c>
      <c r="B6">
        <f>INDEX(Custo_PortoNorte,1)</f>
        <v/>
      </c>
    </row>
    <row r="7">
      <c r="A7" t="inlineStr">
        <is>
          <t>PREÇO DE SAÍDA</t>
        </is>
      </c>
      <c r="B7">
        <f>MAX(B2:B6)+8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Cabeçalho fundido</t>
        </is>
      </c>
    </row>
    <row r="2">
      <c r="A2" t="inlineStr">
        <is>
          <t>Produto</t>
        </is>
      </c>
      <c r="B2" t="inlineStr">
        <is>
          <t>Preço</t>
        </is>
      </c>
      <c r="C2" t="inlineStr">
        <is>
          <t>Fonte</t>
        </is>
      </c>
    </row>
    <row r="3">
      <c r="A3" t="inlineStr">
        <is>
          <t>Produto A</t>
        </is>
      </c>
      <c r="B3">
        <f>Calc!B7</f>
        <v/>
      </c>
      <c r="C3" t="inlineStr">
        <is>
          <t>Calc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2026-09-16T15:24:48Z</dcterms:created>
  <dcterms:modified xmlns:dcterms="http://purl.org/dc/terms/" xmlns:xsi="http://www.w3.org/2001/XMLSchema-instance" xsi:type="dcterms:W3CDTF">2026-09-16T15:24:48Z</dcterms:modified>
</cp:coreProperties>
</file>