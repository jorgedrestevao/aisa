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supostos" sheetId="1" state="visible" r:id="rId1"/>
    <sheet xmlns:r="http://schemas.openxmlformats.org/officeDocument/2006/relationships" name="Modelo" sheetId="2" state="visible" r:id="rId2"/>
  </sheets>
  <definedNames>
    <definedName name="P_Crescimento">Pressupostos!$B$2</definedName>
    <definedName name="P_Margem">Pressupostos!$B$3</definedName>
    <definedName name="P_Custos">Pressupostos!$B$4</definedName>
    <definedName name="P_Inflação">Pressupostos!$B$5</definedName>
    <definedName name="P_Taxa">Pressupostos!$B$6</definedName>
    <definedName name="P_Vendas">Pressupostos!$B$7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Pressuposto</t>
        </is>
      </c>
      <c r="B1" t="inlineStr">
        <is>
          <t>Valor</t>
        </is>
      </c>
    </row>
    <row r="2">
      <c r="A2" t="inlineStr">
        <is>
          <t>Crescimento vendas</t>
        </is>
      </c>
      <c r="B2" t="n">
        <v>0.05</v>
      </c>
    </row>
    <row r="3">
      <c r="A3" t="inlineStr">
        <is>
          <t>Margem bruta</t>
        </is>
      </c>
      <c r="B3" t="n">
        <v>0.42</v>
      </c>
    </row>
    <row r="4">
      <c r="A4" t="inlineStr">
        <is>
          <t>Custos fixos ano 1</t>
        </is>
      </c>
      <c r="B4" t="n">
        <v>1200</v>
      </c>
    </row>
    <row r="5">
      <c r="A5" t="inlineStr">
        <is>
          <t>Inflação custos</t>
        </is>
      </c>
      <c r="B5" t="n">
        <v>0.03</v>
      </c>
    </row>
    <row r="6">
      <c r="A6" t="inlineStr">
        <is>
          <t>Taxa imposto</t>
        </is>
      </c>
      <c r="B6" t="n">
        <v>0.21</v>
      </c>
    </row>
    <row r="7">
      <c r="A7" t="inlineStr">
        <is>
          <t>Vendas ano 1</t>
        </is>
      </c>
      <c r="B7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Rubrica</t>
        </is>
      </c>
      <c r="B1" t="n">
        <v>2026</v>
      </c>
      <c r="C1" t="n">
        <v>2027</v>
      </c>
      <c r="D1" t="n">
        <v>2028</v>
      </c>
      <c r="E1" t="n">
        <v>2029</v>
      </c>
      <c r="F1" t="n">
        <v>2030</v>
      </c>
    </row>
    <row r="2">
      <c r="A2" t="inlineStr">
        <is>
          <t>Vendas</t>
        </is>
      </c>
      <c r="B2">
        <f>P_Vendas</f>
        <v/>
      </c>
      <c r="C2">
        <f>B2*(1+P_Crescimento)</f>
        <v/>
      </c>
      <c r="D2">
        <f>C2*(1+P_Crescimento)</f>
        <v/>
      </c>
      <c r="E2">
        <f>D2*(1+P_Crescimento)</f>
        <v/>
      </c>
      <c r="F2">
        <f>E2*(1+P_Crescimento)</f>
        <v/>
      </c>
    </row>
    <row r="3">
      <c r="A3" t="inlineStr">
        <is>
          <t>Custo das vendas</t>
        </is>
      </c>
      <c r="B3">
        <f>-B2*(1-P_Margem)</f>
        <v/>
      </c>
      <c r="C3">
        <f>-C2*(1-P_Margem)</f>
        <v/>
      </c>
      <c r="D3">
        <f>-D2*(1-P_Margem)</f>
        <v/>
      </c>
      <c r="E3">
        <f>-E2*(1-P_Margem)</f>
        <v/>
      </c>
      <c r="F3">
        <f>-F2*(1-P_Margem)</f>
        <v/>
      </c>
    </row>
    <row r="4">
      <c r="A4" t="inlineStr">
        <is>
          <t>Margem bruta</t>
        </is>
      </c>
      <c r="B4">
        <f>B2+B3</f>
        <v/>
      </c>
      <c r="C4">
        <f>C2+C3</f>
        <v/>
      </c>
      <c r="D4">
        <f>D2+D3</f>
        <v/>
      </c>
      <c r="E4">
        <f>E2+E3</f>
        <v/>
      </c>
      <c r="F4">
        <f>F2+F3</f>
        <v/>
      </c>
    </row>
    <row r="5">
      <c r="A5" t="inlineStr">
        <is>
          <t>Custos fixos</t>
        </is>
      </c>
      <c r="B5">
        <f>-P_Custos</f>
        <v/>
      </c>
      <c r="C5">
        <f>B5*(1+P_Inflação)</f>
        <v/>
      </c>
      <c r="D5">
        <f>C5*(1+P_Inflação)</f>
        <v/>
      </c>
      <c r="E5">
        <f>D5*(1+P_Inflação)</f>
        <v/>
      </c>
      <c r="F5">
        <f>E5*(1+P_Inflação)</f>
        <v/>
      </c>
    </row>
    <row r="6">
      <c r="A6" t="inlineStr">
        <is>
          <t>Resultado operacional</t>
        </is>
      </c>
      <c r="B6">
        <f>B4+B5</f>
        <v/>
      </c>
      <c r="C6">
        <f>C4+C5</f>
        <v/>
      </c>
      <c r="D6">
        <f>D4+D5</f>
        <v/>
      </c>
      <c r="E6">
        <f>E4+E5</f>
        <v/>
      </c>
      <c r="F6">
        <f>F4+F5</f>
        <v/>
      </c>
    </row>
    <row r="7">
      <c r="A7" t="inlineStr">
        <is>
          <t>Imposto</t>
        </is>
      </c>
      <c r="B7">
        <f>IF(B6&gt;0,-B6*P_Taxa,0)</f>
        <v/>
      </c>
      <c r="C7">
        <f>IF(C6&gt;0,-C6*P_Taxa,0)</f>
        <v/>
      </c>
      <c r="D7">
        <f>IF(D6&gt;0,-D6*P_Taxa,0)</f>
        <v/>
      </c>
      <c r="E7">
        <f>IF(E6&gt;0,-E6*P_Taxa,0)</f>
        <v/>
      </c>
      <c r="F7">
        <f>IF(F6&gt;0,-F6*P_Taxa,0)</f>
        <v/>
      </c>
    </row>
    <row r="8">
      <c r="A8" t="inlineStr">
        <is>
          <t>Resultado líquido</t>
        </is>
      </c>
      <c r="B8">
        <f>B6+B7</f>
        <v/>
      </c>
      <c r="C8">
        <f>C6+C7</f>
        <v/>
      </c>
      <c r="D8">
        <f>D6+D7</f>
        <v/>
      </c>
      <c r="E8">
        <f>E6+E7</f>
        <v/>
      </c>
      <c r="F8">
        <f>F6+F7</f>
        <v/>
      </c>
    </row>
    <row r="10">
      <c r="A10" t="inlineStr">
        <is>
          <t>VAL do resultado líquido</t>
        </is>
      </c>
      <c r="B10">
        <f>B8+C8/1.08+D8/1.08^2+E8/1.08^3+F8/1.08^4</f>
        <v/>
      </c>
    </row>
    <row r="11">
      <c r="A11" t="inlineStr">
        <is>
          <t>Resultado acumulado</t>
        </is>
      </c>
      <c r="B11">
        <f>SUM(B8:F8)</f>
        <v/>
      </c>
    </row>
    <row r="12">
      <c r="A12" t="inlineStr">
        <is>
          <t>Melhor ano</t>
        </is>
      </c>
      <c r="B12">
        <f>MAX(B8:F8)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2026-09-16T20:34:28Z</dcterms:created>
  <dcterms:modified xmlns:dcterms="http://purl.org/dc/terms/" xmlns:xsi="http://www.w3.org/2001/XMLSchema-instance" xsi:type="dcterms:W3CDTF">2026-09-16T20:34:28Z</dcterms:modified>
</cp:coreProperties>
</file>