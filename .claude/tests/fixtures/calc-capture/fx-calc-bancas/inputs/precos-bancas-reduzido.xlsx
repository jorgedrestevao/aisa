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arket View" sheetId="2" state="visible" r:id="rId2"/>
    <sheet xmlns:r="http://schemas.openxmlformats.org/officeDocument/2006/relationships" name="Outputs" sheetId="3" state="visible" r:id="rId3"/>
    <sheet xmlns:r="http://schemas.openxmlformats.org/officeDocument/2006/relationships" name="Simulador" sheetId="4" state="visible" r:id="rId4"/>
    <sheet xmlns:r="http://schemas.openxmlformats.org/officeDocument/2006/relationships" name="Base DFA" sheetId="5" state="visible" r:id="rId5"/>
    <sheet xmlns:r="http://schemas.openxmlformats.org/officeDocument/2006/relationships" name="Outputs BIOS" sheetId="6" state="visible" r:id="rId6"/>
  </sheets>
  <definedNames>
    <definedName name="CustosLogísticos_FUEL_PortoNorte">Inputs!$T$9:$T$40</definedName>
    <definedName name="CustosLogísticos_FUEL_PortoSul">Inputs!$U$9:$U$40</definedName>
    <definedName name="CustosLogísticos_MGO_PortoNorte">Inputs!$V$9:$V$40</definedName>
    <definedName name="CustosLogísticos_MGO_PortoSul">Inputs!$W$9:$W$40</definedName>
    <definedName name="PreçosSpot_C_PrémioRef">Inputs!$X$9:$X$40</definedName>
    <definedName name="PreçosSpot_C_DescontoAdicional">Inputs!$Y$9:$Y$40</definedName>
    <definedName name="PreçosSpot_C_Margem">Inputs!$Z$9:$Z$40</definedName>
    <definedName name="PreçosSpot_GMC_Cedência">Inputs!$AA$9:$AA$40</definedName>
    <definedName name="Data_Lista">Inputs!$B$9:$B$40</definedName>
    <definedName name="Index_Z_Preço">Inputs!$C$9:$C$40</definedName>
    <definedName name="Index_Z_Prémio">Inputs!$D$9:$D$40</definedName>
    <definedName name="Index_Z_SLI">Inputs!$E$9:$E$40</definedName>
    <definedName name="Index_A_Preço">Inputs!$F$9:$F$40</definedName>
    <definedName name="Index_A_Prémio">Inputs!$G$9:$G$40</definedName>
    <definedName name="Index_A_SLI">Inputs!$H$9:$H$40</definedName>
    <definedName name="Index_B_Preço">Inputs!$I$9:$I$40</definedName>
    <definedName name="Index_B_Prémio">Inputs!$J$9:$J$40</definedName>
    <definedName name="Index_B_SLI">Inputs!$K$9:$K$40</definedName>
    <definedName name="Index_C_Preço">Inputs!$L$9:$L$40</definedName>
    <definedName name="Index_C_Prémio">Inputs!$M$9:$M$40</definedName>
    <definedName name="Index_C_SLI">Inputs!$N$9:$N$40</definedName>
    <definedName name="Index_D_Preço">Inputs!$O$9:$O$40</definedName>
    <definedName name="Index_D_Prémio">Inputs!$P$9:$P$40</definedName>
    <definedName name="Index_D_SLI">Inputs!$Q$9:$Q$40</definedName>
    <definedName name="Index_TaxaCâmbio">Inputs!$R$9:$R$40</definedName>
    <definedName name="Data_Output">Outputs!$C$6</definedName>
    <definedName name="Data_Manual">Outputs!$C$7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A40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5">
      <c r="F5" t="inlineStr">
        <is>
          <t>model://FEED/SERIE_A/HIGH/ALL</t>
        </is>
      </c>
      <c r="I5" t="inlineStr">
        <is>
          <t>model://FEED/SERIE_B/HIGH/ALL</t>
        </is>
      </c>
      <c r="L5" t="inlineStr">
        <is>
          <t>model://FEED/SERIE_C/HIGH/ALL</t>
        </is>
      </c>
      <c r="O5" t="inlineStr">
        <is>
          <t>model://FEED/SERIE_D/HIGH/ALL</t>
        </is>
      </c>
      <c r="R5" t="inlineStr">
        <is>
          <t>model://FX/USD.EUR/MID/ALL</t>
        </is>
      </c>
    </row>
    <row r="6">
      <c r="C6" t="inlineStr">
        <is>
          <t>Indexantes</t>
        </is>
      </c>
    </row>
    <row r="7">
      <c r="C7" t="inlineStr">
        <is>
          <t>Indexante Z (sem feed)</t>
        </is>
      </c>
      <c r="F7" t="inlineStr">
        <is>
          <t>Indexante A</t>
        </is>
      </c>
      <c r="I7" t="inlineStr">
        <is>
          <t>Indexante B</t>
        </is>
      </c>
      <c r="L7" t="inlineStr">
        <is>
          <t>Indexante C</t>
        </is>
      </c>
      <c r="O7" t="inlineStr">
        <is>
          <t>Indexante D</t>
        </is>
      </c>
      <c r="R7" t="inlineStr">
        <is>
          <t>Câmbio</t>
        </is>
      </c>
      <c r="T7" t="inlineStr">
        <is>
          <t>FUEL</t>
        </is>
      </c>
      <c r="V7" t="inlineStr">
        <is>
          <t>MGO</t>
        </is>
      </c>
    </row>
    <row r="8">
      <c r="B8" t="inlineStr">
        <is>
          <t>Data</t>
        </is>
      </c>
      <c r="C8" t="inlineStr">
        <is>
          <t>Preço
USD/MT</t>
        </is>
      </c>
      <c r="D8" t="inlineStr">
        <is>
          <t>Prémio
USD/MT</t>
        </is>
      </c>
      <c r="E8" t="inlineStr">
        <is>
          <t>SLI's
EUR/MT</t>
        </is>
      </c>
      <c r="F8" t="inlineStr">
        <is>
          <t>Preço
USD/MT</t>
        </is>
      </c>
      <c r="G8" t="inlineStr">
        <is>
          <t>Prémio
USD/MT</t>
        </is>
      </c>
      <c r="H8" t="inlineStr">
        <is>
          <t>SLI's
EUR/MT</t>
        </is>
      </c>
      <c r="I8" t="inlineStr">
        <is>
          <t>Preço
USD/MT</t>
        </is>
      </c>
      <c r="J8" t="inlineStr">
        <is>
          <t>Prémio
USD/MT</t>
        </is>
      </c>
      <c r="K8" t="inlineStr">
        <is>
          <t>SLI's
EUR/MT</t>
        </is>
      </c>
      <c r="L8" t="inlineStr">
        <is>
          <t>Preço
USD/MT</t>
        </is>
      </c>
      <c r="M8" t="inlineStr">
        <is>
          <t>Prémio
USD/MT</t>
        </is>
      </c>
      <c r="N8" t="inlineStr">
        <is>
          <t>SLI's
EUR/MT</t>
        </is>
      </c>
      <c r="O8" t="inlineStr">
        <is>
          <t>Preço
USD/MT</t>
        </is>
      </c>
      <c r="P8" t="inlineStr">
        <is>
          <t>Prémio
USD/MT</t>
        </is>
      </c>
      <c r="Q8" t="inlineStr">
        <is>
          <t>SLI's
EUR/MT</t>
        </is>
      </c>
      <c r="R8" t="inlineStr">
        <is>
          <t>Taxa
EUR/USD</t>
        </is>
      </c>
      <c r="T8" t="inlineStr">
        <is>
          <t>Porto Norte
USD/MT</t>
        </is>
      </c>
      <c r="U8" t="inlineStr">
        <is>
          <t>Porto Sul
USD/MT</t>
        </is>
      </c>
      <c r="V8" t="inlineStr">
        <is>
          <t>Porto Norte
USD/MT</t>
        </is>
      </c>
      <c r="W8" t="inlineStr">
        <is>
          <t>Porto Sul
USD/MT</t>
        </is>
      </c>
      <c r="X8" t="inlineStr">
        <is>
          <t>Prémio Ref.
USD/MT</t>
        </is>
      </c>
      <c r="Y8" t="inlineStr">
        <is>
          <t>Desc. Adicional
USD/MT</t>
        </is>
      </c>
      <c r="Z8" t="inlineStr">
        <is>
          <t>Margem Alvo
EUR/MT</t>
        </is>
      </c>
      <c r="AA8" t="inlineStr">
        <is>
          <t>Cedência
EUR/M3</t>
        </is>
      </c>
    </row>
    <row r="9">
      <c r="B9" s="1" t="n">
        <v>46216</v>
      </c>
      <c r="F9">
        <f>IFERROR(IF(INDEX('Market View'!$1:$1048576,MATCH($B9,'Market View'!$A:$A,0),MATCH(F$5,'Market View'!$1:$1,0))="","",INDEX('Market View'!$1:$1048576,MATCH($B9,'Market View'!$A:$A,0),MATCH(F$5,'Market View'!$1:$1,0))),"")</f>
        <v/>
      </c>
      <c r="G9" t="n">
        <v>12</v>
      </c>
      <c r="H9" t="n">
        <v>3</v>
      </c>
      <c r="I9">
        <f>IFERROR(IF(INDEX('Market View'!$1:$1048576,MATCH($B9,'Market View'!$A:$A,0),MATCH(I$5,'Market View'!$1:$1,0))="","",INDEX('Market View'!$1:$1048576,MATCH($B9,'Market View'!$A:$A,0),MATCH(I$5,'Market View'!$1:$1,0))),"")</f>
        <v/>
      </c>
      <c r="J9" t="n">
        <v>8</v>
      </c>
      <c r="K9" t="n">
        <v>2</v>
      </c>
      <c r="L9">
        <f>IFERROR(IF(INDEX('Market View'!$1:$1048576,MATCH($B9,'Market View'!$A:$A,0),MATCH(L$5,'Market View'!$1:$1,0))="","",INDEX('Market View'!$1:$1048576,MATCH($B9,'Market View'!$A:$A,0),MATCH(L$5,'Market View'!$1:$1,0))),"")</f>
        <v/>
      </c>
      <c r="M9" t="n">
        <v>15</v>
      </c>
      <c r="N9" t="n">
        <v>3.5</v>
      </c>
      <c r="O9">
        <f>IFERROR(IF(INDEX('Market View'!$1:$1048576,MATCH($B9,'Market View'!$A:$A,0),MATCH(O$5,'Market View'!$1:$1,0))="","",INDEX('Market View'!$1:$1048576,MATCH($B9,'Market View'!$A:$A,0),MATCH(O$5,'Market View'!$1:$1,0))),"")</f>
        <v/>
      </c>
      <c r="P9" t="n">
        <v>10</v>
      </c>
      <c r="Q9" t="n">
        <v>2.5</v>
      </c>
      <c r="R9">
        <f>IFERROR(INDEX('Market View'!$1:$1048576,MATCH($B9,'Market View'!$A:$A,0),MATCH(R$5,'Market View'!$1:$1,0)),"")</f>
        <v/>
      </c>
      <c r="T9" t="n">
        <v>32</v>
      </c>
      <c r="U9" t="n">
        <v>28</v>
      </c>
      <c r="V9" t="n">
        <v>66</v>
      </c>
      <c r="W9" t="n">
        <v>60</v>
      </c>
      <c r="X9" t="n">
        <v>3</v>
      </c>
      <c r="Y9" t="n">
        <v>0</v>
      </c>
      <c r="Z9" t="n">
        <v>30</v>
      </c>
      <c r="AA9" t="n">
        <v>450</v>
      </c>
    </row>
    <row r="10">
      <c r="B10" s="1" t="n">
        <v>46217</v>
      </c>
      <c r="F10">
        <f>IFERROR(IF(INDEX('Market View'!$1:$1048576,MATCH($B10,'Market View'!$A:$A,0),MATCH(F$5,'Market View'!$1:$1,0))="","",INDEX('Market View'!$1:$1048576,MATCH($B10,'Market View'!$A:$A,0),MATCH(F$5,'Market View'!$1:$1,0))),"")</f>
        <v/>
      </c>
      <c r="G10" t="n">
        <v>12</v>
      </c>
      <c r="H10" t="n">
        <v>3</v>
      </c>
      <c r="I10">
        <f>IFERROR(IF(INDEX('Market View'!$1:$1048576,MATCH($B10,'Market View'!$A:$A,0),MATCH(I$5,'Market View'!$1:$1,0))="","",INDEX('Market View'!$1:$1048576,MATCH($B10,'Market View'!$A:$A,0),MATCH(I$5,'Market View'!$1:$1,0))),"")</f>
        <v/>
      </c>
      <c r="J10" t="n">
        <v>8</v>
      </c>
      <c r="K10" t="n">
        <v>2</v>
      </c>
      <c r="L10">
        <f>IFERROR(IF(INDEX('Market View'!$1:$1048576,MATCH($B10,'Market View'!$A:$A,0),MATCH(L$5,'Market View'!$1:$1,0))="","",INDEX('Market View'!$1:$1048576,MATCH($B10,'Market View'!$A:$A,0),MATCH(L$5,'Market View'!$1:$1,0))),"")</f>
        <v/>
      </c>
      <c r="M10" t="n">
        <v>15</v>
      </c>
      <c r="N10" t="n">
        <v>3.5</v>
      </c>
      <c r="O10">
        <f>IFERROR(IF(INDEX('Market View'!$1:$1048576,MATCH($B10,'Market View'!$A:$A,0),MATCH(O$5,'Market View'!$1:$1,0))="","",INDEX('Market View'!$1:$1048576,MATCH($B10,'Market View'!$A:$A,0),MATCH(O$5,'Market View'!$1:$1,0))),"")</f>
        <v/>
      </c>
      <c r="P10" t="n">
        <v>10</v>
      </c>
      <c r="Q10" t="n">
        <v>2.5</v>
      </c>
      <c r="R10">
        <f>IFERROR(INDEX('Market View'!$1:$1048576,MATCH($B10,'Market View'!$A:$A,0),MATCH(R$5,'Market View'!$1:$1,0)),"")</f>
        <v/>
      </c>
      <c r="T10" t="n">
        <v>32</v>
      </c>
      <c r="U10" t="n">
        <v>28</v>
      </c>
      <c r="V10" t="n">
        <v>66</v>
      </c>
      <c r="W10" t="n">
        <v>60</v>
      </c>
      <c r="X10" t="n">
        <v>3</v>
      </c>
      <c r="Y10" t="n">
        <v>0</v>
      </c>
      <c r="Z10" t="n">
        <v>30</v>
      </c>
      <c r="AA10" t="n">
        <v>450</v>
      </c>
    </row>
    <row r="11">
      <c r="B11" s="1" t="n">
        <v>46218</v>
      </c>
      <c r="F11">
        <f>IFERROR(IF(INDEX('Market View'!$1:$1048576,MATCH($B11,'Market View'!$A:$A,0),MATCH(F$5,'Market View'!$1:$1,0))="","",INDEX('Market View'!$1:$1048576,MATCH($B11,'Market View'!$A:$A,0),MATCH(F$5,'Market View'!$1:$1,0))),"")</f>
        <v/>
      </c>
      <c r="G11" t="n">
        <v>12</v>
      </c>
      <c r="H11" t="n">
        <v>3</v>
      </c>
      <c r="I11">
        <f>IFERROR(IF(INDEX('Market View'!$1:$1048576,MATCH($B11,'Market View'!$A:$A,0),MATCH(I$5,'Market View'!$1:$1,0))="","",INDEX('Market View'!$1:$1048576,MATCH($B11,'Market View'!$A:$A,0),MATCH(I$5,'Market View'!$1:$1,0))),"")</f>
        <v/>
      </c>
      <c r="J11" t="n">
        <v>8</v>
      </c>
      <c r="K11" t="n">
        <v>2</v>
      </c>
      <c r="L11">
        <f>IFERROR(IF(INDEX('Market View'!$1:$1048576,MATCH($B11,'Market View'!$A:$A,0),MATCH(L$5,'Market View'!$1:$1,0))="","",INDEX('Market View'!$1:$1048576,MATCH($B11,'Market View'!$A:$A,0),MATCH(L$5,'Market View'!$1:$1,0))),"")</f>
        <v/>
      </c>
      <c r="M11" t="n">
        <v>15</v>
      </c>
      <c r="N11" t="n">
        <v>3.5</v>
      </c>
      <c r="O11">
        <f>IFERROR(IF(INDEX('Market View'!$1:$1048576,MATCH($B11,'Market View'!$A:$A,0),MATCH(O$5,'Market View'!$1:$1,0))="","",INDEX('Market View'!$1:$1048576,MATCH($B11,'Market View'!$A:$A,0),MATCH(O$5,'Market View'!$1:$1,0))),"")</f>
        <v/>
      </c>
      <c r="P11" t="n">
        <v>10</v>
      </c>
      <c r="Q11" t="n">
        <v>2.5</v>
      </c>
      <c r="R11">
        <f>IFERROR(INDEX('Market View'!$1:$1048576,MATCH($B11,'Market View'!$A:$A,0),MATCH(R$5,'Market View'!$1:$1,0)),"")</f>
        <v/>
      </c>
      <c r="T11" t="n">
        <v>32</v>
      </c>
      <c r="U11" t="n">
        <v>28</v>
      </c>
      <c r="V11" t="n">
        <v>66</v>
      </c>
      <c r="W11" t="n">
        <v>60</v>
      </c>
      <c r="X11" t="n">
        <v>3</v>
      </c>
      <c r="Y11" t="n">
        <v>0</v>
      </c>
      <c r="Z11" t="n">
        <v>30</v>
      </c>
      <c r="AA11" t="n">
        <v>450</v>
      </c>
    </row>
    <row r="12">
      <c r="B12" s="1" t="n">
        <v>46219</v>
      </c>
      <c r="F12" t="n">
        <v>1234.5</v>
      </c>
      <c r="G12" t="n">
        <v>12</v>
      </c>
      <c r="H12" t="n">
        <v>3</v>
      </c>
      <c r="I12">
        <f>IFERROR(IF(INDEX('Market View'!$1:$1048576,MATCH($B12,'Market View'!$A:$A,0),MATCH(I$5,'Market View'!$1:$1,0))="","",INDEX('Market View'!$1:$1048576,MATCH($B12,'Market View'!$A:$A,0),MATCH(I$5,'Market View'!$1:$1,0))),"")</f>
        <v/>
      </c>
      <c r="J12" t="n">
        <v>8</v>
      </c>
      <c r="K12" t="n">
        <v>2</v>
      </c>
      <c r="L12">
        <f>IFERROR(IF(INDEX('Market View'!$1:$1048576,MATCH($B12,'Market View'!$A:$A,0),MATCH(L$5,'Market View'!$1:$1,0))="","",INDEX('Market View'!$1:$1048576,MATCH($B12,'Market View'!$A:$A,0),MATCH(L$5,'Market View'!$1:$1,0))),"")</f>
        <v/>
      </c>
      <c r="M12" t="n">
        <v>15</v>
      </c>
      <c r="N12" t="n">
        <v>3.5</v>
      </c>
      <c r="O12">
        <f>IFERROR(IF(INDEX('Market View'!$1:$1048576,MATCH($B12,'Market View'!$A:$A,0),MATCH(O$5,'Market View'!$1:$1,0))="","",INDEX('Market View'!$1:$1048576,MATCH($B12,'Market View'!$A:$A,0),MATCH(O$5,'Market View'!$1:$1,0))),"")</f>
        <v/>
      </c>
      <c r="P12" t="n">
        <v>10</v>
      </c>
      <c r="Q12" t="n">
        <v>2.5</v>
      </c>
      <c r="R12">
        <f>IFERROR(INDEX('Market View'!$1:$1048576,MATCH($B12,'Market View'!$A:$A,0),MATCH(R$5,'Market View'!$1:$1,0)),"")</f>
        <v/>
      </c>
      <c r="T12" t="n">
        <v>32</v>
      </c>
      <c r="U12" t="n">
        <v>28</v>
      </c>
      <c r="V12" t="n">
        <v>66</v>
      </c>
      <c r="W12" t="n">
        <v>60</v>
      </c>
      <c r="X12" t="n">
        <v>3</v>
      </c>
      <c r="Y12" t="n">
        <v>0</v>
      </c>
      <c r="Z12" t="n">
        <v>30</v>
      </c>
      <c r="AA12" t="n">
        <v>450</v>
      </c>
    </row>
    <row r="13">
      <c r="B13" s="1" t="n">
        <v>46220</v>
      </c>
      <c r="F13">
        <f>IFERROR(IF(INDEX('Market View'!$1:$1048576,MATCH($B13,'Market View'!$A:$A,0),MATCH(F$5,'Market View'!$1:$1,0))="","",INDEX('Market View'!$1:$1048576,MATCH($B13,'Market View'!$A:$A,0),MATCH(F$5,'Market View'!$1:$1,0))),"")</f>
        <v/>
      </c>
      <c r="G13" t="n">
        <v>12</v>
      </c>
      <c r="H13" t="n">
        <v>3</v>
      </c>
      <c r="I13">
        <f>IFERROR(IF(INDEX('Market View'!$1:$1048576,MATCH($B13,'Market View'!$A:$A,0),MATCH(I$5,'Market View'!$1:$1,0))="","",INDEX('Market View'!$1:$1048576,MATCH($B13,'Market View'!$A:$A,0),MATCH(I$5,'Market View'!$1:$1,0))),"")</f>
        <v/>
      </c>
      <c r="J13" t="n">
        <v>8</v>
      </c>
      <c r="K13" t="n">
        <v>2</v>
      </c>
      <c r="L13">
        <f>IFERROR(IF(INDEX('Market View'!$1:$1048576,MATCH($B13,'Market View'!$A:$A,0),MATCH(L$5,'Market View'!$1:$1,0))="","",INDEX('Market View'!$1:$1048576,MATCH($B13,'Market View'!$A:$A,0),MATCH(L$5,'Market View'!$1:$1,0))),"")</f>
        <v/>
      </c>
      <c r="M13" t="n">
        <v>15</v>
      </c>
      <c r="N13" t="n">
        <v>3.5</v>
      </c>
      <c r="O13">
        <f>IFERROR(IF(INDEX('Market View'!$1:$1048576,MATCH($B13,'Market View'!$A:$A,0),MATCH(O$5,'Market View'!$1:$1,0))="","",INDEX('Market View'!$1:$1048576,MATCH($B13,'Market View'!$A:$A,0),MATCH(O$5,'Market View'!$1:$1,0))),"")</f>
        <v/>
      </c>
      <c r="P13" t="n">
        <v>10</v>
      </c>
      <c r="Q13" t="n">
        <v>2.5</v>
      </c>
      <c r="R13">
        <f>IFERROR(INDEX('Market View'!$1:$1048576,MATCH($B13,'Market View'!$A:$A,0),MATCH(R$5,'Market View'!$1:$1,0)),"")</f>
        <v/>
      </c>
      <c r="T13" t="n">
        <v>32</v>
      </c>
      <c r="U13" t="n">
        <v>28</v>
      </c>
      <c r="V13" t="n">
        <v>66</v>
      </c>
      <c r="W13" t="n">
        <v>60</v>
      </c>
      <c r="X13" t="n">
        <v>3</v>
      </c>
      <c r="Y13" t="n">
        <v>0</v>
      </c>
      <c r="Z13" t="n">
        <v>30</v>
      </c>
      <c r="AA13" t="n">
        <v>450</v>
      </c>
    </row>
    <row r="14">
      <c r="B14" s="1" t="n">
        <v>46221</v>
      </c>
      <c r="F14">
        <f>IFERROR(IF(INDEX('Market View'!$1:$1048576,MATCH($B14,'Market View'!$A:$A,0),MATCH(F$5,'Market View'!$1:$1,0))="","",INDEX('Market View'!$1:$1048576,MATCH($B14,'Market View'!$A:$A,0),MATCH(F$5,'Market View'!$1:$1,0))),"")</f>
        <v/>
      </c>
      <c r="G14" t="n">
        <v>12</v>
      </c>
      <c r="H14" t="n">
        <v>3</v>
      </c>
      <c r="I14">
        <f>IFERROR(IF(INDEX('Market View'!$1:$1048576,MATCH($B14,'Market View'!$A:$A,0),MATCH(I$5,'Market View'!$1:$1,0))="","",INDEX('Market View'!$1:$1048576,MATCH($B14,'Market View'!$A:$A,0),MATCH(I$5,'Market View'!$1:$1,0))),"")</f>
        <v/>
      </c>
      <c r="J14" t="n">
        <v>8</v>
      </c>
      <c r="K14" t="n">
        <v>2</v>
      </c>
      <c r="L14">
        <f>IFERROR(IF(INDEX('Market View'!$1:$1048576,MATCH($B14,'Market View'!$A:$A,0),MATCH(L$5,'Market View'!$1:$1,0))="","",INDEX('Market View'!$1:$1048576,MATCH($B14,'Market View'!$A:$A,0),MATCH(L$5,'Market View'!$1:$1,0))),"")</f>
        <v/>
      </c>
      <c r="M14" t="n">
        <v>15</v>
      </c>
      <c r="N14" t="n">
        <v>3.5</v>
      </c>
      <c r="O14">
        <f>IFERROR(IF(INDEX('Market View'!$1:$1048576,MATCH($B14,'Market View'!$A:$A,0),MATCH(O$5,'Market View'!$1:$1,0))="","",INDEX('Market View'!$1:$1048576,MATCH($B14,'Market View'!$A:$A,0),MATCH(O$5,'Market View'!$1:$1,0))),"")</f>
        <v/>
      </c>
      <c r="P14" t="n">
        <v>10</v>
      </c>
      <c r="Q14" t="n">
        <v>2.5</v>
      </c>
      <c r="R14">
        <f>IFERROR(INDEX('Market View'!$1:$1048576,MATCH($B14,'Market View'!$A:$A,0),MATCH(R$5,'Market View'!$1:$1,0)),"")</f>
        <v/>
      </c>
      <c r="T14" t="n">
        <v>32</v>
      </c>
      <c r="U14" t="n">
        <v>28</v>
      </c>
      <c r="V14" t="n">
        <v>66</v>
      </c>
      <c r="W14" t="n">
        <v>60</v>
      </c>
      <c r="X14" t="n">
        <v>3</v>
      </c>
      <c r="Y14" t="n">
        <v>0</v>
      </c>
      <c r="Z14" t="n">
        <v>30</v>
      </c>
      <c r="AA14" t="n">
        <v>450</v>
      </c>
    </row>
    <row r="15">
      <c r="B15" s="1" t="n">
        <v>46222</v>
      </c>
      <c r="F15">
        <f>IFERROR(IF(INDEX('Market View'!$1:$1048576,MATCH($B15,'Market View'!$A:$A,0),MATCH(F$5,'Market View'!$1:$1,0))="","",INDEX('Market View'!$1:$1048576,MATCH($B15,'Market View'!$A:$A,0),MATCH(F$5,'Market View'!$1:$1,0))),"")</f>
        <v/>
      </c>
      <c r="G15" t="n">
        <v>12</v>
      </c>
      <c r="H15" t="n">
        <v>3</v>
      </c>
      <c r="I15">
        <f>IFERROR(IF(INDEX('Market View'!$1:$1048576,MATCH($B15,'Market View'!$A:$A,0),MATCH(I$5,'Market View'!$1:$1,0))="","",INDEX('Market View'!$1:$1048576,MATCH($B15,'Market View'!$A:$A,0),MATCH(I$5,'Market View'!$1:$1,0))),"")</f>
        <v/>
      </c>
      <c r="J15" t="n">
        <v>8</v>
      </c>
      <c r="K15" t="n">
        <v>2</v>
      </c>
      <c r="L15">
        <f>IFERROR(IF(INDEX('Market View'!$1:$1048576,MATCH($B15,'Market View'!$A:$A,0),MATCH(L$5,'Market View'!$1:$1,0))="","",INDEX('Market View'!$1:$1048576,MATCH($B15,'Market View'!$A:$A,0),MATCH(L$5,'Market View'!$1:$1,0))),"")</f>
        <v/>
      </c>
      <c r="M15" t="n">
        <v>15</v>
      </c>
      <c r="N15" t="n">
        <v>3.5</v>
      </c>
      <c r="O15">
        <f>IFERROR(IF(INDEX('Market View'!$1:$1048576,MATCH($B15,'Market View'!$A:$A,0),MATCH(O$5,'Market View'!$1:$1,0))="","",INDEX('Market View'!$1:$1048576,MATCH($B15,'Market View'!$A:$A,0),MATCH(O$5,'Market View'!$1:$1,0))),"")</f>
        <v/>
      </c>
      <c r="P15" t="n">
        <v>10</v>
      </c>
      <c r="Q15" t="n">
        <v>2.5</v>
      </c>
      <c r="R15">
        <f>IFERROR(INDEX('Market View'!$1:$1048576,MATCH($B15,'Market View'!$A:$A,0),MATCH(R$5,'Market View'!$1:$1,0)),"")</f>
        <v/>
      </c>
      <c r="T15" t="n">
        <v>32</v>
      </c>
      <c r="U15" t="n">
        <v>28</v>
      </c>
      <c r="V15" t="n">
        <v>66</v>
      </c>
      <c r="W15" t="n">
        <v>60</v>
      </c>
      <c r="X15" t="n">
        <v>3</v>
      </c>
      <c r="Y15" t="n">
        <v>0</v>
      </c>
      <c r="Z15" t="n">
        <v>30</v>
      </c>
      <c r="AA15" t="n">
        <v>450</v>
      </c>
    </row>
    <row r="16">
      <c r="B16" s="1" t="n">
        <v>46223</v>
      </c>
      <c r="F16">
        <f>IFERROR(IF(INDEX('Market View'!$1:$1048576,MATCH($B16,'Market View'!$A:$A,0),MATCH(F$5,'Market View'!$1:$1,0))="","",INDEX('Market View'!$1:$1048576,MATCH($B16,'Market View'!$A:$A,0),MATCH(F$5,'Market View'!$1:$1,0))),"")</f>
        <v/>
      </c>
      <c r="G16" t="n">
        <v>12</v>
      </c>
      <c r="H16" t="n">
        <v>3</v>
      </c>
      <c r="I16">
        <f>IFERROR(IF(INDEX('Market View'!$1:$1048576,MATCH($B16,'Market View'!$A:$A,0),MATCH(I$5,'Market View'!$1:$1,0))="","",INDEX('Market View'!$1:$1048576,MATCH($B16,'Market View'!$A:$A,0),MATCH(I$5,'Market View'!$1:$1,0))),"")</f>
        <v/>
      </c>
      <c r="J16" t="n">
        <v>8</v>
      </c>
      <c r="K16" t="n">
        <v>2</v>
      </c>
      <c r="L16">
        <f>IFERROR(IF(INDEX('Market View'!$1:$1048576,MATCH($B16,'Market View'!$A:$A,0),MATCH(L$5,'Market View'!$1:$1,0))="","",INDEX('Market View'!$1:$1048576,MATCH($B16,'Market View'!$A:$A,0),MATCH(L$5,'Market View'!$1:$1,0))),"")</f>
        <v/>
      </c>
      <c r="M16" t="n">
        <v>15</v>
      </c>
      <c r="N16" t="n">
        <v>3.5</v>
      </c>
      <c r="O16">
        <f>IFERROR(IF(INDEX('Market View'!$1:$1048576,MATCH($B16,'Market View'!$A:$A,0),MATCH(O$5,'Market View'!$1:$1,0))="","",INDEX('Market View'!$1:$1048576,MATCH($B16,'Market View'!$A:$A,0),MATCH(O$5,'Market View'!$1:$1,0))),"")</f>
        <v/>
      </c>
      <c r="P16" t="n">
        <v>10</v>
      </c>
      <c r="Q16" t="n">
        <v>2.5</v>
      </c>
      <c r="R16">
        <f>IFERROR(INDEX('Market View'!$1:$1048576,MATCH($B16,'Market View'!$A:$A,0),MATCH(R$5,'Market View'!$1:$1,0)),"")</f>
        <v/>
      </c>
      <c r="T16" t="n">
        <v>32</v>
      </c>
      <c r="U16" t="n">
        <v>28</v>
      </c>
      <c r="V16" t="n">
        <v>66</v>
      </c>
      <c r="W16" t="n">
        <v>60</v>
      </c>
      <c r="X16" t="n">
        <v>3</v>
      </c>
      <c r="Y16" t="n">
        <v>0</v>
      </c>
      <c r="Z16" t="n">
        <v>30</v>
      </c>
      <c r="AA16" t="n">
        <v>450</v>
      </c>
    </row>
    <row r="17">
      <c r="B17" s="1" t="n">
        <v>46224</v>
      </c>
      <c r="F17">
        <f>IFERROR(IF(INDEX('Market View'!$1:$1048576,MATCH($B17,'Market View'!$A:$A,0),MATCH(F$5,'Market View'!$1:$1,0))="","",INDEX('Market View'!$1:$1048576,MATCH($B17,'Market View'!$A:$A,0),MATCH(F$5,'Market View'!$1:$1,0))),"")</f>
        <v/>
      </c>
      <c r="G17" t="n">
        <v>12</v>
      </c>
      <c r="H17" t="n">
        <v>3</v>
      </c>
      <c r="I17">
        <f>IFERROR(IF(INDEX('Market View'!$1:$1048576,MATCH($B17,'Market View'!$A:$A,0),MATCH(I$5,'Market View'!$1:$1,0))="","",INDEX('Market View'!$1:$1048576,MATCH($B17,'Market View'!$A:$A,0),MATCH(I$5,'Market View'!$1:$1,0))),"")</f>
        <v/>
      </c>
      <c r="J17" t="n">
        <v>8</v>
      </c>
      <c r="K17" t="n">
        <v>2</v>
      </c>
      <c r="L17">
        <f>IFERROR(IF(INDEX('Market View'!$1:$1048576,MATCH($B17,'Market View'!$A:$A,0),MATCH(L$5,'Market View'!$1:$1,0))="","",INDEX('Market View'!$1:$1048576,MATCH($B17,'Market View'!$A:$A,0),MATCH(L$5,'Market View'!$1:$1,0))),"")</f>
        <v/>
      </c>
      <c r="M17" t="n">
        <v>15</v>
      </c>
      <c r="N17" t="n">
        <v>3.5</v>
      </c>
      <c r="O17">
        <f>IFERROR(IF(INDEX('Market View'!$1:$1048576,MATCH($B17,'Market View'!$A:$A,0),MATCH(O$5,'Market View'!$1:$1,0))="","",INDEX('Market View'!$1:$1048576,MATCH($B17,'Market View'!$A:$A,0),MATCH(O$5,'Market View'!$1:$1,0))),"")</f>
        <v/>
      </c>
      <c r="P17" t="n">
        <v>10</v>
      </c>
      <c r="Q17" t="n">
        <v>2.5</v>
      </c>
      <c r="R17">
        <f>IFERROR(INDEX('Market View'!$1:$1048576,MATCH($B17,'Market View'!$A:$A,0),MATCH(R$5,'Market View'!$1:$1,0)),"")</f>
        <v/>
      </c>
      <c r="T17" t="n">
        <v>32</v>
      </c>
      <c r="U17" t="n">
        <v>28</v>
      </c>
      <c r="V17" t="n">
        <v>66</v>
      </c>
      <c r="W17" t="n">
        <v>60</v>
      </c>
      <c r="X17" t="n">
        <v>3</v>
      </c>
      <c r="Y17" t="n">
        <v>0</v>
      </c>
      <c r="Z17" t="n">
        <v>30</v>
      </c>
      <c r="AA17" t="n">
        <v>450</v>
      </c>
    </row>
    <row r="18">
      <c r="B18" s="1" t="n">
        <v>46225</v>
      </c>
      <c r="F18">
        <f>F17+10</f>
        <v/>
      </c>
      <c r="G18" t="n">
        <v>12</v>
      </c>
      <c r="H18" t="n">
        <v>3</v>
      </c>
      <c r="I18">
        <f>IFERROR(IF(INDEX('Market View'!$1:$1048576,MATCH($B18,'Market View'!$A:$A,0),MATCH(I$5,'Market View'!$1:$1,0))="","",INDEX('Market View'!$1:$1048576,MATCH($B18,'Market View'!$A:$A,0),MATCH(I$5,'Market View'!$1:$1,0))),"")</f>
        <v/>
      </c>
      <c r="J18" t="n">
        <v>8</v>
      </c>
      <c r="K18" t="n">
        <v>2</v>
      </c>
      <c r="L18">
        <f>IFERROR(IF(INDEX('Market View'!$1:$1048576,MATCH($B18,'Market View'!$A:$A,0),MATCH(L$5,'Market View'!$1:$1,0))="","",INDEX('Market View'!$1:$1048576,MATCH($B18,'Market View'!$A:$A,0),MATCH(L$5,'Market View'!$1:$1,0))),"")</f>
        <v/>
      </c>
      <c r="M18" t="n">
        <v>15</v>
      </c>
      <c r="N18" t="n">
        <v>3.5</v>
      </c>
      <c r="O18">
        <f>IFERROR(IF(INDEX('Market View'!$1:$1048576,MATCH($B18,'Market View'!$A:$A,0),MATCH(O$5,'Market View'!$1:$1,0))="","",INDEX('Market View'!$1:$1048576,MATCH($B18,'Market View'!$A:$A,0),MATCH(O$5,'Market View'!$1:$1,0))),"")</f>
        <v/>
      </c>
      <c r="P18" t="n">
        <v>10</v>
      </c>
      <c r="Q18" t="n">
        <v>2.5</v>
      </c>
      <c r="R18">
        <f>IFERROR(INDEX('Market View'!$1:$1048576,MATCH($B18,'Market View'!$A:$A,0),MATCH(R$5,'Market View'!$1:$1,0)),"")</f>
        <v/>
      </c>
      <c r="T18" t="n">
        <v>32</v>
      </c>
      <c r="U18" t="n">
        <v>28</v>
      </c>
      <c r="V18" t="n">
        <v>66</v>
      </c>
      <c r="W18" t="n">
        <v>60</v>
      </c>
      <c r="X18" t="n">
        <v>3</v>
      </c>
      <c r="Y18" t="n">
        <v>0</v>
      </c>
      <c r="Z18" t="n">
        <v>30</v>
      </c>
      <c r="AA18" t="n">
        <v>450</v>
      </c>
    </row>
    <row r="19">
      <c r="B19" s="1" t="n">
        <v>46226</v>
      </c>
      <c r="F19">
        <f>IFERROR(IF(INDEX('Market View'!$1:$1048576,MATCH($B19,'Market View'!$A:$A,0),MATCH(F$5,'Market View'!$1:$1,0))="","",INDEX('Market View'!$1:$1048576,MATCH($B19,'Market View'!$A:$A,0),MATCH(F$5,'Market View'!$1:$1,0))),"")</f>
        <v/>
      </c>
      <c r="G19" t="n">
        <v>12</v>
      </c>
      <c r="H19" t="n">
        <v>3</v>
      </c>
      <c r="I19">
        <f>IFERROR(IF(INDEX('Market View'!$1:$1048576,MATCH($B19,'Market View'!$A:$A,0),MATCH(I$5,'Market View'!$1:$1,0))="","",INDEX('Market View'!$1:$1048576,MATCH($B19,'Market View'!$A:$A,0),MATCH(I$5,'Market View'!$1:$1,0))),"")</f>
        <v/>
      </c>
      <c r="J19" t="n">
        <v>8</v>
      </c>
      <c r="K19" t="n">
        <v>2</v>
      </c>
      <c r="L19">
        <f>IFERROR(IF(INDEX('Market View'!$1:$1048576,MATCH($B19,'Market View'!$A:$A,0),MATCH(L$5,'Market View'!$1:$1,0))="","",INDEX('Market View'!$1:$1048576,MATCH($B19,'Market View'!$A:$A,0),MATCH(L$5,'Market View'!$1:$1,0))),"")</f>
        <v/>
      </c>
      <c r="M19" t="n">
        <v>15</v>
      </c>
      <c r="N19" t="n">
        <v>3.5</v>
      </c>
      <c r="O19">
        <f>IFERROR(IF(INDEX('Market View'!$1:$1048576,MATCH($B19,'Market View'!$A:$A,0),MATCH(O$5,'Market View'!$1:$1,0))="","",INDEX('Market View'!$1:$1048576,MATCH($B19,'Market View'!$A:$A,0),MATCH(O$5,'Market View'!$1:$1,0))),"")</f>
        <v/>
      </c>
      <c r="P19" t="n">
        <v>10</v>
      </c>
      <c r="Q19" t="n">
        <v>2.5</v>
      </c>
      <c r="R19">
        <f>IFERROR(INDEX('Market View'!$1:$1048576,MATCH($B19,'Market View'!$A:$A,0),MATCH(R$5,'Market View'!$1:$1,0)),"")</f>
        <v/>
      </c>
      <c r="T19" t="n">
        <v>32</v>
      </c>
      <c r="U19" t="n">
        <v>28</v>
      </c>
      <c r="V19" t="n">
        <v>66</v>
      </c>
      <c r="W19" t="n">
        <v>60</v>
      </c>
      <c r="X19" t="n">
        <v>3</v>
      </c>
      <c r="Y19" t="n">
        <v>0</v>
      </c>
      <c r="Z19" t="n">
        <v>30</v>
      </c>
      <c r="AA19" t="n">
        <v>450</v>
      </c>
    </row>
    <row r="20">
      <c r="B20" s="1" t="n">
        <v>46227</v>
      </c>
      <c r="F20">
        <f>IFERROR(IF(INDEX('Market View'!$1:$1048576,MATCH($B20,'Market View'!$A:$A,0),MATCH(F$5,'Market View'!$1:$1,0))="","",INDEX('Market View'!$1:$1048576,MATCH($B20,'Market View'!$A:$A,0),MATCH(F$5,'Market View'!$1:$1,0))),"")</f>
        <v/>
      </c>
      <c r="G20" t="n">
        <v>12</v>
      </c>
      <c r="H20" t="n">
        <v>3</v>
      </c>
      <c r="I20">
        <f>IFERROR(IF(INDEX('Market View'!$1:$1048576,MATCH($B20,'Market View'!$A:$A,0),MATCH(I$5,'Market View'!$1:$1,0))="","",INDEX('Market View'!$1:$1048576,MATCH($B20,'Market View'!$A:$A,0),MATCH(I$5,'Market View'!$1:$1,0))),"")</f>
        <v/>
      </c>
      <c r="J20" t="n">
        <v>8</v>
      </c>
      <c r="K20" t="n">
        <v>2</v>
      </c>
      <c r="L20">
        <f>IFERROR(IF(INDEX('Market View'!$1:$1048576,MATCH($B20,'Market View'!$A:$A,0),MATCH(L$5,'Market View'!$1:$1,0))="","",INDEX('Market View'!$1:$1048576,MATCH($B20,'Market View'!$A:$A,0),MATCH(L$5,'Market View'!$1:$1,0))),"")</f>
        <v/>
      </c>
      <c r="M20" t="n">
        <v>15</v>
      </c>
      <c r="N20" t="n">
        <v>3.5</v>
      </c>
      <c r="O20">
        <f>IFERROR(IF(INDEX('Market View'!$1:$1048576,MATCH($B20,'Market View'!$A:$A,0),MATCH(O$5,'Market View'!$1:$1,0))="","",INDEX('Market View'!$1:$1048576,MATCH($B20,'Market View'!$A:$A,0),MATCH(O$5,'Market View'!$1:$1,0))),"")</f>
        <v/>
      </c>
      <c r="P20" t="n">
        <v>10</v>
      </c>
      <c r="Q20" t="n">
        <v>2.5</v>
      </c>
      <c r="R20">
        <f>IFERROR(INDEX('Market View'!$1:$1048576,MATCH($B20,'Market View'!$A:$A,0),MATCH(R$5,'Market View'!$1:$1,0)),"")</f>
        <v/>
      </c>
      <c r="T20" t="n">
        <v>32</v>
      </c>
      <c r="U20" t="n">
        <v>28</v>
      </c>
      <c r="V20" t="n">
        <v>66</v>
      </c>
      <c r="W20" t="n">
        <v>60</v>
      </c>
      <c r="X20" t="n">
        <v>3</v>
      </c>
      <c r="Y20" t="n">
        <v>0</v>
      </c>
      <c r="Z20" t="n">
        <v>30</v>
      </c>
      <c r="AA20" t="n">
        <v>450</v>
      </c>
    </row>
    <row r="21">
      <c r="B21" s="1" t="n">
        <v>46228</v>
      </c>
      <c r="F21">
        <f>IFERROR(IF(INDEX('Market View'!$1:$1048576,MATCH($B21,'Market View'!$A:$A,0),MATCH(F$5,'Market View'!$1:$1,0))="","",INDEX('Market View'!$1:$1048576,MATCH($B21,'Market View'!$A:$A,0),MATCH(F$5,'Market View'!$1:$1,0))),"")</f>
        <v/>
      </c>
      <c r="G21" t="n">
        <v>12</v>
      </c>
      <c r="H21" t="n">
        <v>3</v>
      </c>
      <c r="I21">
        <f>IFERROR(IF(INDEX('Market View'!$1:$1048576,MATCH($B21,'Market View'!$A:$A,0),MATCH(I$5,'Market View'!$1:$1,0))="","",INDEX('Market View'!$1:$1048576,MATCH($B21,'Market View'!$A:$A,0),MATCH(I$5,'Market View'!$1:$1,0))),"")</f>
        <v/>
      </c>
      <c r="J21" t="n">
        <v>8</v>
      </c>
      <c r="K21" t="n">
        <v>2</v>
      </c>
      <c r="L21">
        <f>IFERROR(IF(INDEX('Market View'!$1:$1048576,MATCH($B21,'Market View'!$A:$A,0),MATCH(L$5,'Market View'!$1:$1,0))="","",INDEX('Market View'!$1:$1048576,MATCH($B21,'Market View'!$A:$A,0),MATCH(L$5,'Market View'!$1:$1,0))),"")</f>
        <v/>
      </c>
      <c r="M21" t="n">
        <v>15</v>
      </c>
      <c r="N21" t="n">
        <v>3.5</v>
      </c>
      <c r="O21">
        <f>IFERROR(IF(INDEX('Market View'!$1:$1048576,MATCH($B21,'Market View'!$A:$A,0),MATCH(O$5,'Market View'!$1:$1,0))="","",INDEX('Market View'!$1:$1048576,MATCH($B21,'Market View'!$A:$A,0),MATCH(O$5,'Market View'!$1:$1,0))),"")</f>
        <v/>
      </c>
      <c r="P21" t="n">
        <v>10</v>
      </c>
      <c r="Q21" t="n">
        <v>2.5</v>
      </c>
      <c r="R21">
        <f>IFERROR(INDEX('Market View'!$1:$1048576,MATCH($B21,'Market View'!$A:$A,0),MATCH(R$5,'Market View'!$1:$1,0)),"")</f>
        <v/>
      </c>
      <c r="T21" t="n">
        <v>32</v>
      </c>
      <c r="U21" t="n">
        <v>28</v>
      </c>
      <c r="V21" t="n">
        <v>66</v>
      </c>
      <c r="W21" t="n">
        <v>60</v>
      </c>
      <c r="X21" t="n">
        <v>3</v>
      </c>
      <c r="Y21" t="n">
        <v>0</v>
      </c>
      <c r="Z21" t="n">
        <v>30</v>
      </c>
      <c r="AA21" t="n">
        <v>450</v>
      </c>
    </row>
    <row r="22">
      <c r="B22" s="1" t="n">
        <v>46229</v>
      </c>
      <c r="F22">
        <f>IFERROR(IF(INDEX('Market View'!$1:$1048576,MATCH($B22,'Market View'!$A:$A,0),MATCH(F$5,'Market View'!$1:$1,0))="","",INDEX('Market View'!$1:$1048576,MATCH($B22,'Market View'!$A:$A,0),MATCH(F$5,'Market View'!$1:$1,0))),"")</f>
        <v/>
      </c>
      <c r="G22" t="n">
        <v>12</v>
      </c>
      <c r="H22" t="n">
        <v>3</v>
      </c>
      <c r="I22">
        <f>IFERROR(IF(INDEX('Market View'!$1:$1048576,MATCH($B22,'Market View'!$A:$A,0),MATCH(I$5,'Market View'!$1:$1,0))="","",INDEX('Market View'!$1:$1048576,MATCH($B22,'Market View'!$A:$A,0),MATCH(I$5,'Market View'!$1:$1,0))),"")</f>
        <v/>
      </c>
      <c r="J22" t="n">
        <v>8</v>
      </c>
      <c r="K22" t="n">
        <v>2</v>
      </c>
      <c r="L22">
        <f>IFERROR(IF(INDEX('Market View'!$1:$1048576,MATCH($B22,'Market View'!$A:$A,0),MATCH(L$5,'Market View'!$1:$1,0))="","",INDEX('Market View'!$1:$1048576,MATCH($B22,'Market View'!$A:$A,0),MATCH(L$5,'Market View'!$1:$1,0))),"")</f>
        <v/>
      </c>
      <c r="M22" t="n">
        <v>15</v>
      </c>
      <c r="N22" t="n">
        <v>3.5</v>
      </c>
      <c r="O22">
        <f>IFERROR(IF(INDEX('Market View'!$1:$1048576,MATCH($B22,'Market View'!$A:$A,0),MATCH(O$5,'Market View'!$1:$1,0))="","",INDEX('Market View'!$1:$1048576,MATCH($B22,'Market View'!$A:$A,0),MATCH(O$5,'Market View'!$1:$1,0))),"")</f>
        <v/>
      </c>
      <c r="P22" t="n">
        <v>10</v>
      </c>
      <c r="Q22" t="n">
        <v>2.5</v>
      </c>
      <c r="R22">
        <f>IFERROR(INDEX('Market View'!$1:$1048576,MATCH($B22,'Market View'!$A:$A,0),MATCH(R$5,'Market View'!$1:$1,0)),"")</f>
        <v/>
      </c>
      <c r="T22" t="n">
        <v>32</v>
      </c>
      <c r="U22" t="n">
        <v>28</v>
      </c>
      <c r="V22" t="n">
        <v>66</v>
      </c>
      <c r="W22" t="n">
        <v>60</v>
      </c>
      <c r="X22" t="n">
        <v>3</v>
      </c>
      <c r="Y22" t="n">
        <v>0</v>
      </c>
      <c r="Z22" t="n">
        <v>30</v>
      </c>
      <c r="AA22" t="n">
        <v>450</v>
      </c>
    </row>
    <row r="23">
      <c r="B23" s="1" t="n">
        <v>46230</v>
      </c>
      <c r="F23">
        <f>IFERROR(IF(INDEX('Market View'!$1:$1048576,MATCH($B23,'Market View'!$A:$A,0),MATCH(F$5,'Market View'!$1:$1,0))="","",INDEX('Market View'!$1:$1048576,MATCH($B23,'Market View'!$A:$A,0),MATCH(F$5,'Market View'!$1:$1,0))),"")</f>
        <v/>
      </c>
      <c r="G23" t="n">
        <v>12</v>
      </c>
      <c r="H23" t="n">
        <v>3</v>
      </c>
      <c r="I23">
        <f>IFERROR(IF(INDEX('Market View'!$1:$1048576,MATCH($B23,'Market View'!$A:$A,0),MATCH(I$5,'Market View'!$1:$1,0))="","",INDEX('Market View'!$1:$1048576,MATCH($B23,'Market View'!$A:$A,0),MATCH(I$5,'Market View'!$1:$1,0))),"")</f>
        <v/>
      </c>
      <c r="J23" t="n">
        <v>8</v>
      </c>
      <c r="K23" t="n">
        <v>2</v>
      </c>
      <c r="L23">
        <f>IFERROR(IF(INDEX('Market View'!$1:$1048576,MATCH($B23,'Market View'!$A:$A,0),MATCH(L$5,'Market View'!$1:$1,0))="","",INDEX('Market View'!$1:$1048576,MATCH($B23,'Market View'!$A:$A,0),MATCH(L$5,'Market View'!$1:$1,0))),"")</f>
        <v/>
      </c>
      <c r="M23" t="n">
        <v>15</v>
      </c>
      <c r="N23" t="n">
        <v>3.5</v>
      </c>
      <c r="O23">
        <f>IFERROR(IF(INDEX('Market View'!$1:$1048576,MATCH($B23,'Market View'!$A:$A,0),MATCH(O$5,'Market View'!$1:$1,0))="","",INDEX('Market View'!$1:$1048576,MATCH($B23,'Market View'!$A:$A,0),MATCH(O$5,'Market View'!$1:$1,0))),"")</f>
        <v/>
      </c>
      <c r="P23" t="n">
        <v>10</v>
      </c>
      <c r="Q23" t="n">
        <v>2.5</v>
      </c>
      <c r="R23">
        <f>IFERROR(INDEX('Market View'!$1:$1048576,MATCH($B23,'Market View'!$A:$A,0),MATCH(R$5,'Market View'!$1:$1,0)),"")</f>
        <v/>
      </c>
      <c r="T23" t="n">
        <v>32</v>
      </c>
      <c r="U23" t="n">
        <v>28</v>
      </c>
      <c r="V23" t="n">
        <v>66</v>
      </c>
      <c r="W23" t="n">
        <v>60</v>
      </c>
      <c r="X23" t="n">
        <v>3</v>
      </c>
      <c r="Y23" t="n">
        <v>0</v>
      </c>
      <c r="Z23" t="n">
        <v>30</v>
      </c>
      <c r="AA23" t="n">
        <v>450</v>
      </c>
    </row>
    <row r="24">
      <c r="B24" s="1" t="n">
        <v>46231</v>
      </c>
      <c r="F24">
        <f>IFERROR(IF(INDEX('Market View'!$1:$1048576,MATCH($B24,'Market View'!$A:$A,0),MATCH(F$5,'Market View'!$1:$1,0))="","",INDEX('Market View'!$1:$1048576,MATCH($B24,'Market View'!$A:$A,0),MATCH(F$5,'Market View'!$1:$1,0))),"")</f>
        <v/>
      </c>
      <c r="G24" t="n">
        <v>12</v>
      </c>
      <c r="H24" t="n">
        <v>3</v>
      </c>
      <c r="I24">
        <f>IFERROR(IF(INDEX('Market View'!$1:$1048576,MATCH($B24,'Market View'!$A:$A,0),MATCH(I$5,'Market View'!$1:$1,0))="","",INDEX('Market View'!$1:$1048576,MATCH($B24,'Market View'!$A:$A,0),MATCH(I$5,'Market View'!$1:$1,0))),"")</f>
        <v/>
      </c>
      <c r="J24" t="n">
        <v>8</v>
      </c>
      <c r="K24" t="n">
        <v>2</v>
      </c>
      <c r="L24">
        <f>IFERROR(IF(INDEX('Market View'!$1:$1048576,MATCH($B24,'Market View'!$A:$A,0),MATCH(L$5,'Market View'!$1:$1,0))="","",INDEX('Market View'!$1:$1048576,MATCH($B24,'Market View'!$A:$A,0),MATCH(L$5,'Market View'!$1:$1,0))),"")</f>
        <v/>
      </c>
      <c r="M24" t="n">
        <v>15</v>
      </c>
      <c r="N24" t="n">
        <v>3.5</v>
      </c>
      <c r="O24">
        <f>IFERROR(IF(INDEX('Market View'!$1:$1048576,MATCH($B24,'Market View'!$A:$A,0),MATCH(O$5,'Market View'!$1:$1,0))="","",INDEX('Market View'!$1:$1048576,MATCH($B24,'Market View'!$A:$A,0),MATCH(O$5,'Market View'!$1:$1,0))),"")</f>
        <v/>
      </c>
      <c r="P24" t="n">
        <v>10</v>
      </c>
      <c r="Q24" t="n">
        <v>2.5</v>
      </c>
      <c r="R24">
        <f>IFERROR(INDEX('Market View'!$1:$1048576,MATCH($B24,'Market View'!$A:$A,0),MATCH(R$5,'Market View'!$1:$1,0)),"")</f>
        <v/>
      </c>
      <c r="T24" t="n">
        <v>32</v>
      </c>
      <c r="U24" t="n">
        <v>28</v>
      </c>
      <c r="V24" t="n">
        <v>66</v>
      </c>
      <c r="W24" t="n">
        <v>60</v>
      </c>
      <c r="X24" t="n">
        <v>3</v>
      </c>
      <c r="Y24" t="n">
        <v>0</v>
      </c>
      <c r="Z24" t="n">
        <v>30</v>
      </c>
      <c r="AA24" t="n">
        <v>450</v>
      </c>
    </row>
    <row r="25">
      <c r="B25" s="1" t="n">
        <v>46232</v>
      </c>
      <c r="F25">
        <f>IFERROR(IF(INDEX('Market View'!$1:$1048576,MATCH($B25,'Market View'!$A:$A,0),MATCH(F$5,'Market View'!$1:$1,0))="","",INDEX('Market View'!$1:$1048576,MATCH($B25,'Market View'!$A:$A,0),MATCH(F$5,'Market View'!$1:$1,0))),"")</f>
        <v/>
      </c>
      <c r="G25" t="n">
        <v>12</v>
      </c>
      <c r="H25" t="n">
        <v>3</v>
      </c>
      <c r="I25">
        <f>IFERROR(IF(INDEX('Market View'!$1:$1048576,MATCH($B25,'Market View'!$A:$A,0),MATCH(I$5,'Market View'!$1:$1,0))="","",INDEX('Market View'!$1:$1048576,MATCH($B25,'Market View'!$A:$A,0),MATCH(I$5,'Market View'!$1:$1,0))),"")</f>
        <v/>
      </c>
      <c r="J25" t="n">
        <v>8</v>
      </c>
      <c r="K25" t="n">
        <v>2</v>
      </c>
      <c r="L25">
        <f>IFERROR(IF(INDEX('Market View'!$1:$1048576,MATCH($B25,'Market View'!$A:$A,0),MATCH(L$5,'Market View'!$1:$1,0))="","",INDEX('Market View'!$1:$1048576,MATCH($B25,'Market View'!$A:$A,0),MATCH(L$5,'Market View'!$1:$1,0))),"")</f>
        <v/>
      </c>
      <c r="M25" t="n">
        <v>15</v>
      </c>
      <c r="N25" t="n">
        <v>3.5</v>
      </c>
      <c r="O25">
        <f>IFERROR(IF(INDEX('Market View'!$1:$1048576,MATCH($B25,'Market View'!$A:$A,0),MATCH(O$5,'Market View'!$1:$1,0))="","",INDEX('Market View'!$1:$1048576,MATCH($B25,'Market View'!$A:$A,0),MATCH(O$5,'Market View'!$1:$1,0))),"")</f>
        <v/>
      </c>
      <c r="P25" t="n">
        <v>10</v>
      </c>
      <c r="Q25" t="n">
        <v>2.5</v>
      </c>
      <c r="R25">
        <f>IFERROR(INDEX('Market View'!$1:$1048576,MATCH($B25,'Market View'!$A:$A,0),MATCH(R$5,'Market View'!$1:$1,0)),"")</f>
        <v/>
      </c>
      <c r="T25" t="n">
        <v>32</v>
      </c>
      <c r="U25" t="n">
        <v>28</v>
      </c>
      <c r="V25" t="n">
        <v>66</v>
      </c>
      <c r="W25" t="n">
        <v>60</v>
      </c>
      <c r="X25" t="n">
        <v>3</v>
      </c>
      <c r="Y25" t="n">
        <v>0</v>
      </c>
      <c r="Z25" t="n">
        <v>30</v>
      </c>
      <c r="AA25" t="n">
        <v>450</v>
      </c>
    </row>
    <row r="26">
      <c r="B26" s="1" t="n">
        <v>46233</v>
      </c>
      <c r="F26">
        <f>IFERROR(IF(INDEX('Market View'!$1:$1048576,MATCH($B26,'Market View'!$A:$A,0),MATCH(F$5,'Market View'!$1:$1,0))="","",INDEX('Market View'!$1:$1048576,MATCH($B26,'Market View'!$A:$A,0),MATCH(F$5,'Market View'!$1:$1,0))),"")</f>
        <v/>
      </c>
      <c r="G26" t="n">
        <v>12</v>
      </c>
      <c r="H26" t="n">
        <v>3</v>
      </c>
      <c r="I26">
        <f>IFERROR(IF(INDEX('Market View'!$1:$1048576,MATCH($B26,'Market View'!$A:$A,0),MATCH(I$5,'Market View'!$1:$1,0))="","",INDEX('Market View'!$1:$1048576,MATCH($B26,'Market View'!$A:$A,0),MATCH(I$5,'Market View'!$1:$1,0))),"")</f>
        <v/>
      </c>
      <c r="J26" t="n">
        <v>8</v>
      </c>
      <c r="K26" t="n">
        <v>2</v>
      </c>
      <c r="L26">
        <f>IFERROR(IF(INDEX('Market View'!$1:$1048576,MATCH($B26,'Market View'!$A:$A,0),MATCH(L$5,'Market View'!$1:$1,0))="","",INDEX('Market View'!$1:$1048576,MATCH($B26,'Market View'!$A:$A,0),MATCH(L$5,'Market View'!$1:$1,0))),"")</f>
        <v/>
      </c>
      <c r="M26" t="n">
        <v>15</v>
      </c>
      <c r="N26" t="n">
        <v>3.5</v>
      </c>
      <c r="O26">
        <f>IFERROR(IF(INDEX('Market View'!$1:$1048576,MATCH($B26,'Market View'!$A:$A,0),MATCH(O$5,'Market View'!$1:$1,0))="","",INDEX('Market View'!$1:$1048576,MATCH($B26,'Market View'!$A:$A,0),MATCH(O$5,'Market View'!$1:$1,0))),"")</f>
        <v/>
      </c>
      <c r="P26" t="n">
        <v>10</v>
      </c>
      <c r="Q26" t="n">
        <v>2.5</v>
      </c>
      <c r="R26">
        <f>IFERROR(INDEX('Market View'!$1:$1048576,MATCH($B26,'Market View'!$A:$A,0),MATCH(R$5,'Market View'!$1:$1,0)),"")</f>
        <v/>
      </c>
      <c r="T26" t="n">
        <v>32</v>
      </c>
      <c r="U26" t="n">
        <v>28</v>
      </c>
      <c r="V26" t="n">
        <v>66</v>
      </c>
      <c r="W26" t="n">
        <v>60</v>
      </c>
      <c r="X26" t="n">
        <v>3</v>
      </c>
      <c r="Y26" t="n">
        <v>0</v>
      </c>
      <c r="Z26" t="n">
        <v>30</v>
      </c>
      <c r="AA26" t="n">
        <v>450</v>
      </c>
    </row>
    <row r="27">
      <c r="B27" s="1" t="n">
        <v>46234</v>
      </c>
      <c r="F27">
        <f>IFERROR(IF(INDEX('Market View'!$1:$1048576,MATCH($B27,'Market View'!$A:$A,0),MATCH(F$5,'Market View'!$1:$1,0))="","",INDEX('Market View'!$1:$1048576,MATCH($B27,'Market View'!$A:$A,0),MATCH(F$5,'Market View'!$1:$1,0))),"")</f>
        <v/>
      </c>
      <c r="G27" t="n">
        <v>12</v>
      </c>
      <c r="H27" t="n">
        <v>3</v>
      </c>
      <c r="I27">
        <f>IFERROR(IF(INDEX('Market View'!$1:$1048576,MATCH($B27,'Market View'!$A:$A,0),MATCH(I$5,'Market View'!$1:$1,0))="","",INDEX('Market View'!$1:$1048576,MATCH($B27,'Market View'!$A:$A,0),MATCH(I$5,'Market View'!$1:$1,0))),"")</f>
        <v/>
      </c>
      <c r="J27" t="n">
        <v>8</v>
      </c>
      <c r="K27" t="n">
        <v>2</v>
      </c>
      <c r="L27">
        <f>IFERROR(IF(INDEX('Market View'!$1:$1048576,MATCH($B27,'Market View'!$A:$A,0),MATCH(L$5,'Market View'!$1:$1,0))="","",INDEX('Market View'!$1:$1048576,MATCH($B27,'Market View'!$A:$A,0),MATCH(L$5,'Market View'!$1:$1,0))),"")</f>
        <v/>
      </c>
      <c r="M27" t="n">
        <v>15</v>
      </c>
      <c r="N27" t="n">
        <v>3.5</v>
      </c>
      <c r="O27">
        <f>IFERROR(IF(INDEX('Market View'!$1:$1048576,MATCH($B27,'Market View'!$A:$A,0),MATCH(O$5,'Market View'!$1:$1,0))="","",INDEX('Market View'!$1:$1048576,MATCH($B27,'Market View'!$A:$A,0),MATCH(O$5,'Market View'!$1:$1,0))),"")</f>
        <v/>
      </c>
      <c r="P27" t="n">
        <v>10</v>
      </c>
      <c r="Q27" t="n">
        <v>2.5</v>
      </c>
      <c r="R27">
        <f>IFERROR(INDEX('Market View'!$1:$1048576,MATCH($B27,'Market View'!$A:$A,0),MATCH(R$5,'Market View'!$1:$1,0)),"")</f>
        <v/>
      </c>
      <c r="T27" t="n">
        <v>32</v>
      </c>
      <c r="U27" t="n">
        <v>28</v>
      </c>
      <c r="V27" t="n">
        <v>66</v>
      </c>
      <c r="W27" t="n">
        <v>60</v>
      </c>
      <c r="X27" t="n">
        <v>3</v>
      </c>
      <c r="Y27" t="n">
        <v>0</v>
      </c>
      <c r="Z27" t="n">
        <v>30</v>
      </c>
      <c r="AA27" t="n">
        <v>450</v>
      </c>
    </row>
    <row r="28">
      <c r="B28" s="1" t="n">
        <v>46235</v>
      </c>
      <c r="F28">
        <f>IFERROR(IF(INDEX('Market View'!$1:$1048576,MATCH($B28,'Market View'!$A:$A,0),MATCH(F$5,'Market View'!$1:$1,0))="","",INDEX('Market View'!$1:$1048576,MATCH($B28,'Market View'!$A:$A,0),MATCH(F$5,'Market View'!$1:$1,0))),"")</f>
        <v/>
      </c>
      <c r="G28" t="n">
        <v>12</v>
      </c>
      <c r="H28" t="n">
        <v>3</v>
      </c>
      <c r="I28">
        <f>IFERROR(IF(INDEX('Market View'!$1:$1048576,MATCH($B28,'Market View'!$A:$A,0),MATCH(I$5,'Market View'!$1:$1,0))="","",INDEX('Market View'!$1:$1048576,MATCH($B28,'Market View'!$A:$A,0),MATCH(I$5,'Market View'!$1:$1,0))),"")</f>
        <v/>
      </c>
      <c r="J28" t="n">
        <v>8</v>
      </c>
      <c r="K28" t="n">
        <v>2</v>
      </c>
      <c r="L28">
        <f>IFERROR(IF(INDEX('Market View'!$1:$1048576,MATCH($B28,'Market View'!$A:$A,0),MATCH(L$5,'Market View'!$1:$1,0))="","",INDEX('Market View'!$1:$1048576,MATCH($B28,'Market View'!$A:$A,0),MATCH(L$5,'Market View'!$1:$1,0))),"")</f>
        <v/>
      </c>
      <c r="M28" t="n">
        <v>15</v>
      </c>
      <c r="N28" t="n">
        <v>3.5</v>
      </c>
      <c r="O28">
        <f>IFERROR(IF(INDEX('Market View'!$1:$1048576,MATCH($B28,'Market View'!$A:$A,0),MATCH(O$5,'Market View'!$1:$1,0))="","",INDEX('Market View'!$1:$1048576,MATCH($B28,'Market View'!$A:$A,0),MATCH(O$5,'Market View'!$1:$1,0))),"")</f>
        <v/>
      </c>
      <c r="P28" t="n">
        <v>10</v>
      </c>
      <c r="Q28" t="n">
        <v>2.5</v>
      </c>
      <c r="R28">
        <f>IFERROR(INDEX('Market View'!$1:$1048576,MATCH($B28,'Market View'!$A:$A,0),MATCH(R$5,'Market View'!$1:$1,0)),"")</f>
        <v/>
      </c>
      <c r="T28" t="n">
        <v>32</v>
      </c>
      <c r="U28" t="n">
        <v>28</v>
      </c>
      <c r="V28" t="n">
        <v>66</v>
      </c>
      <c r="W28" t="n">
        <v>60</v>
      </c>
      <c r="X28" t="n">
        <v>3</v>
      </c>
      <c r="Y28" t="n">
        <v>0</v>
      </c>
      <c r="Z28" t="n">
        <v>30</v>
      </c>
      <c r="AA28" t="n">
        <v>450</v>
      </c>
    </row>
    <row r="29">
      <c r="B29" s="1" t="n">
        <v>46236</v>
      </c>
      <c r="F29">
        <f>IFERROR(IF(INDEX('Market View'!$1:$1048576,MATCH($B29,'Market View'!$A:$A,0),MATCH(F$5,'Market View'!$1:$1,0))="","",INDEX('Market View'!$1:$1048576,MATCH($B29,'Market View'!$A:$A,0),MATCH(F$5,'Market View'!$1:$1,0))),"")</f>
        <v/>
      </c>
      <c r="G29" t="n">
        <v>12</v>
      </c>
      <c r="H29" t="n">
        <v>3</v>
      </c>
      <c r="I29">
        <f>IFERROR(IF(INDEX('Market View'!$1:$1048576,MATCH($B29,'Market View'!$A:$A,0),MATCH(I$5,'Market View'!$1:$1,0))="","",INDEX('Market View'!$1:$1048576,MATCH($B29,'Market View'!$A:$A,0),MATCH(I$5,'Market View'!$1:$1,0))),"")</f>
        <v/>
      </c>
      <c r="J29" t="n">
        <v>8</v>
      </c>
      <c r="K29" t="n">
        <v>2</v>
      </c>
      <c r="L29">
        <f>IFERROR(IF(INDEX('Market View'!$1:$1048576,MATCH($B29,'Market View'!$A:$A,0),MATCH(L$5,'Market View'!$1:$1,0))="","",INDEX('Market View'!$1:$1048576,MATCH($B29,'Market View'!$A:$A,0),MATCH(L$5,'Market View'!$1:$1,0))),"")</f>
        <v/>
      </c>
      <c r="M29" t="n">
        <v>15</v>
      </c>
      <c r="N29" t="n">
        <v>3.5</v>
      </c>
      <c r="O29">
        <f>IFERROR(IF(INDEX('Market View'!$1:$1048576,MATCH($B29,'Market View'!$A:$A,0),MATCH(O$5,'Market View'!$1:$1,0))="","",INDEX('Market View'!$1:$1048576,MATCH($B29,'Market View'!$A:$A,0),MATCH(O$5,'Market View'!$1:$1,0))),"")</f>
        <v/>
      </c>
      <c r="P29" t="n">
        <v>10</v>
      </c>
      <c r="Q29" t="n">
        <v>2.5</v>
      </c>
      <c r="R29">
        <f>IFERROR(INDEX('Market View'!$1:$1048576,MATCH($B29,'Market View'!$A:$A,0),MATCH(R$5,'Market View'!$1:$1,0)),"")</f>
        <v/>
      </c>
      <c r="T29" t="n">
        <v>32</v>
      </c>
      <c r="U29" t="n">
        <v>28</v>
      </c>
      <c r="V29" t="n">
        <v>66</v>
      </c>
      <c r="W29" t="n">
        <v>60</v>
      </c>
      <c r="X29" t="n">
        <v>3</v>
      </c>
      <c r="Y29" t="n">
        <v>0</v>
      </c>
      <c r="Z29" t="n">
        <v>30</v>
      </c>
      <c r="AA29" t="n">
        <v>450</v>
      </c>
    </row>
    <row r="30">
      <c r="B30" s="1" t="n">
        <v>46237</v>
      </c>
      <c r="F30">
        <f>IFERROR(IF(INDEX('Market View'!$1:$1048576,MATCH($B30,'Market View'!$A:$A,0),MATCH(F$5,'Market View'!$1:$1,0))="","",INDEX('Market View'!$1:$1048576,MATCH($B30,'Market View'!$A:$A,0),MATCH(F$5,'Market View'!$1:$1,0))),"")</f>
        <v/>
      </c>
      <c r="G30" t="n">
        <v>12</v>
      </c>
      <c r="H30" t="n">
        <v>3</v>
      </c>
      <c r="I30">
        <f>IFERROR(IF(INDEX('Market View'!$1:$1048576,MATCH($B30,'Market View'!$A:$A,0),MATCH(I$5,'Market View'!$1:$1,0))="","",INDEX('Market View'!$1:$1048576,MATCH($B30,'Market View'!$A:$A,0),MATCH(I$5,'Market View'!$1:$1,0))),"")</f>
        <v/>
      </c>
      <c r="J30" t="n">
        <v>8</v>
      </c>
      <c r="K30" t="n">
        <v>2</v>
      </c>
      <c r="L30">
        <f>IFERROR(IF(INDEX('Market View'!$1:$1048576,MATCH($B30,'Market View'!$A:$A,0),MATCH(L$5,'Market View'!$1:$1,0))="","",INDEX('Market View'!$1:$1048576,MATCH($B30,'Market View'!$A:$A,0),MATCH(L$5,'Market View'!$1:$1,0))),"")</f>
        <v/>
      </c>
      <c r="M30" t="n">
        <v>15</v>
      </c>
      <c r="N30" t="n">
        <v>3.5</v>
      </c>
      <c r="O30">
        <f>IFERROR(IF(INDEX('Market View'!$1:$1048576,MATCH($B30,'Market View'!$A:$A,0),MATCH(O$5,'Market View'!$1:$1,0))="","",INDEX('Market View'!$1:$1048576,MATCH($B30,'Market View'!$A:$A,0),MATCH(O$5,'Market View'!$1:$1,0))),"")</f>
        <v/>
      </c>
      <c r="P30" t="n">
        <v>10</v>
      </c>
      <c r="Q30" t="n">
        <v>2.5</v>
      </c>
      <c r="R30">
        <f>IFERROR(INDEX('Market View'!$1:$1048576,MATCH($B30,'Market View'!$A:$A,0),MATCH(R$5,'Market View'!$1:$1,0)),"")</f>
        <v/>
      </c>
      <c r="T30" t="n">
        <v>32</v>
      </c>
      <c r="U30" t="n">
        <v>28</v>
      </c>
      <c r="V30" t="n">
        <v>66</v>
      </c>
      <c r="W30" t="n">
        <v>60</v>
      </c>
      <c r="X30" t="n">
        <v>3</v>
      </c>
      <c r="Y30" t="n">
        <v>0</v>
      </c>
      <c r="Z30" t="n">
        <v>30</v>
      </c>
      <c r="AA30" t="n">
        <v>450</v>
      </c>
    </row>
    <row r="31">
      <c r="B31" s="1" t="n">
        <v>46238</v>
      </c>
      <c r="F31">
        <f>IFERROR(IF(INDEX('Market View'!$1:$1048576,MATCH($B31,'Market View'!$A:$A,0),MATCH(F$5,'Market View'!$1:$1,0))="","",INDEX('Market View'!$1:$1048576,MATCH($B31,'Market View'!$A:$A,0),MATCH(F$5,'Market View'!$1:$1,0))),"")</f>
        <v/>
      </c>
      <c r="G31" t="n">
        <v>12</v>
      </c>
      <c r="H31" t="n">
        <v>3</v>
      </c>
      <c r="I31">
        <f>IFERROR(IF(INDEX('Market View'!$1:$1048576,MATCH($B31,'Market View'!$A:$A,0),MATCH(I$5,'Market View'!$1:$1,0))="","",INDEX('Market View'!$1:$1048576,MATCH($B31,'Market View'!$A:$A,0),MATCH(I$5,'Market View'!$1:$1,0))),"")</f>
        <v/>
      </c>
      <c r="J31" t="n">
        <v>8</v>
      </c>
      <c r="K31" t="n">
        <v>2</v>
      </c>
      <c r="L31">
        <f>IFERROR(IF(INDEX('Market View'!$1:$1048576,MATCH($B31,'Market View'!$A:$A,0),MATCH(L$5,'Market View'!$1:$1,0))="","",INDEX('Market View'!$1:$1048576,MATCH($B31,'Market View'!$A:$A,0),MATCH(L$5,'Market View'!$1:$1,0))),"")</f>
        <v/>
      </c>
      <c r="M31" t="n">
        <v>15</v>
      </c>
      <c r="N31" t="n">
        <v>3.5</v>
      </c>
      <c r="O31">
        <f>IFERROR(IF(INDEX('Market View'!$1:$1048576,MATCH($B31,'Market View'!$A:$A,0),MATCH(O$5,'Market View'!$1:$1,0))="","",INDEX('Market View'!$1:$1048576,MATCH($B31,'Market View'!$A:$A,0),MATCH(O$5,'Market View'!$1:$1,0))),"")</f>
        <v/>
      </c>
      <c r="P31" t="n">
        <v>10</v>
      </c>
      <c r="Q31" t="n">
        <v>2.5</v>
      </c>
      <c r="R31">
        <f>IFERROR(INDEX('Market View'!$1:$1048576,MATCH($B31,'Market View'!$A:$A,0),MATCH(R$5,'Market View'!$1:$1,0)),"")</f>
        <v/>
      </c>
      <c r="T31" t="n">
        <v>32</v>
      </c>
      <c r="U31" t="n">
        <v>28</v>
      </c>
      <c r="V31" t="n">
        <v>66</v>
      </c>
      <c r="W31" t="n">
        <v>60</v>
      </c>
      <c r="X31" t="n">
        <v>3</v>
      </c>
      <c r="Y31" t="n">
        <v>0</v>
      </c>
      <c r="Z31" t="n">
        <v>30</v>
      </c>
      <c r="AA31" t="n">
        <v>450</v>
      </c>
    </row>
    <row r="32">
      <c r="B32" s="1" t="n">
        <v>46239</v>
      </c>
      <c r="F32">
        <f>IFERROR(IF(INDEX('Market View'!$1:$1048576,MATCH($B32,'Market View'!$A:$A,0),MATCH(F$5,'Market View'!$1:$1,0))="","",INDEX('Market View'!$1:$1048576,MATCH($B32,'Market View'!$A:$A,0),MATCH(F$5,'Market View'!$1:$1,0))),"")</f>
        <v/>
      </c>
      <c r="G32" t="n">
        <v>12</v>
      </c>
      <c r="H32" t="n">
        <v>3</v>
      </c>
      <c r="I32">
        <f>IFERROR(IF(INDEX('Market View'!$1:$1048576,MATCH($B32,'Market View'!$A:$A,0),MATCH(I$5,'Market View'!$1:$1,0))="","",INDEX('Market View'!$1:$1048576,MATCH($B32,'Market View'!$A:$A,0),MATCH(I$5,'Market View'!$1:$1,0))),"")</f>
        <v/>
      </c>
      <c r="J32" t="n">
        <v>8</v>
      </c>
      <c r="K32" t="n">
        <v>2</v>
      </c>
      <c r="L32">
        <f>IFERROR(IF(INDEX('Market View'!$1:$1048576,MATCH($B32,'Market View'!$A:$A,0),MATCH(L$5,'Market View'!$1:$1,0))="","",INDEX('Market View'!$1:$1048576,MATCH($B32,'Market View'!$A:$A,0),MATCH(L$5,'Market View'!$1:$1,0))),"")</f>
        <v/>
      </c>
      <c r="M32" t="n">
        <v>15</v>
      </c>
      <c r="N32" t="n">
        <v>3.5</v>
      </c>
      <c r="O32">
        <f>IFERROR(IF(INDEX('Market View'!$1:$1048576,MATCH($B32,'Market View'!$A:$A,0),MATCH(O$5,'Market View'!$1:$1,0))="","",INDEX('Market View'!$1:$1048576,MATCH($B32,'Market View'!$A:$A,0),MATCH(O$5,'Market View'!$1:$1,0))),"")</f>
        <v/>
      </c>
      <c r="P32" t="n">
        <v>10</v>
      </c>
      <c r="Q32" t="n">
        <v>2.5</v>
      </c>
      <c r="R32">
        <f>IFERROR(INDEX('Market View'!$1:$1048576,MATCH($B32,'Market View'!$A:$A,0),MATCH(R$5,'Market View'!$1:$1,0)),"")</f>
        <v/>
      </c>
      <c r="T32" t="n">
        <v>32</v>
      </c>
      <c r="U32" t="n">
        <v>28</v>
      </c>
      <c r="V32" t="n">
        <v>66</v>
      </c>
      <c r="W32" t="n">
        <v>60</v>
      </c>
      <c r="X32" t="n">
        <v>3</v>
      </c>
      <c r="Y32" t="n">
        <v>0</v>
      </c>
      <c r="Z32" t="n">
        <v>30</v>
      </c>
      <c r="AA32" t="n">
        <v>450</v>
      </c>
    </row>
    <row r="33">
      <c r="B33" s="1" t="n">
        <v>46240</v>
      </c>
      <c r="F33">
        <f>IFERROR(IF(INDEX('Market View'!$1:$1048576,MATCH($B33,'Market View'!$A:$A,0),MATCH(F$5,'Market View'!$1:$1,0))="","",INDEX('Market View'!$1:$1048576,MATCH($B33,'Market View'!$A:$A,0),MATCH(F$5,'Market View'!$1:$1,0))),"")</f>
        <v/>
      </c>
      <c r="G33" t="n">
        <v>12</v>
      </c>
      <c r="H33" t="n">
        <v>3</v>
      </c>
      <c r="I33">
        <f>IFERROR(IF(INDEX('Market View'!$1:$1048576,MATCH($B33,'Market View'!$A:$A,0),MATCH(I$5,'Market View'!$1:$1,0))="","",INDEX('Market View'!$1:$1048576,MATCH($B33,'Market View'!$A:$A,0),MATCH(I$5,'Market View'!$1:$1,0))),"")</f>
        <v/>
      </c>
      <c r="J33" t="n">
        <v>8</v>
      </c>
      <c r="K33" t="n">
        <v>2</v>
      </c>
      <c r="L33">
        <f>IFERROR(IF(INDEX('Market View'!$1:$1048576,MATCH($B33,'Market View'!$A:$A,0),MATCH(L$5,'Market View'!$1:$1,0))="","",INDEX('Market View'!$1:$1048576,MATCH($B33,'Market View'!$A:$A,0),MATCH(L$5,'Market View'!$1:$1,0))),"")</f>
        <v/>
      </c>
      <c r="M33" t="n">
        <v>15</v>
      </c>
      <c r="N33" t="n">
        <v>3.5</v>
      </c>
      <c r="O33">
        <f>IFERROR(IF(INDEX('Market View'!$1:$1048576,MATCH($B33,'Market View'!$A:$A,0),MATCH(O$5,'Market View'!$1:$1,0))="","",INDEX('Market View'!$1:$1048576,MATCH($B33,'Market View'!$A:$A,0),MATCH(O$5,'Market View'!$1:$1,0))),"")</f>
        <v/>
      </c>
      <c r="P33" t="n">
        <v>10</v>
      </c>
      <c r="Q33" t="n">
        <v>2.5</v>
      </c>
      <c r="R33">
        <f>IFERROR(INDEX('Market View'!$1:$1048576,MATCH($B33,'Market View'!$A:$A,0),MATCH(R$5,'Market View'!$1:$1,0)),"")</f>
        <v/>
      </c>
      <c r="T33" t="n">
        <v>32</v>
      </c>
      <c r="U33" t="n">
        <v>28</v>
      </c>
      <c r="V33" t="n">
        <v>66</v>
      </c>
      <c r="W33" t="n">
        <v>60</v>
      </c>
      <c r="X33" t="n">
        <v>3</v>
      </c>
      <c r="Y33" t="n">
        <v>0</v>
      </c>
      <c r="Z33" t="n">
        <v>30</v>
      </c>
      <c r="AA33" t="n">
        <v>450</v>
      </c>
    </row>
    <row r="34">
      <c r="B34" s="1" t="n">
        <v>46241</v>
      </c>
      <c r="F34">
        <f>IFERROR(IF(INDEX('Market View'!$1:$1048576,MATCH($B34,'Market View'!$A:$A,0),MATCH(F$5,'Market View'!$1:$1,0))="","",INDEX('Market View'!$1:$1048576,MATCH($B34,'Market View'!$A:$A,0),MATCH(F$5,'Market View'!$1:$1,0))),"")</f>
        <v/>
      </c>
      <c r="G34" t="n">
        <v>12</v>
      </c>
      <c r="H34" t="n">
        <v>3</v>
      </c>
      <c r="I34">
        <f>IFERROR(IF(INDEX('Market View'!$1:$1048576,MATCH($B34,'Market View'!$A:$A,0),MATCH(I$5,'Market View'!$1:$1,0))="","",INDEX('Market View'!$1:$1048576,MATCH($B34,'Market View'!$A:$A,0),MATCH(I$5,'Market View'!$1:$1,0))),"")</f>
        <v/>
      </c>
      <c r="J34" t="n">
        <v>8</v>
      </c>
      <c r="K34" t="n">
        <v>2</v>
      </c>
      <c r="L34">
        <f>IFERROR(IF(INDEX('Market View'!$1:$1048576,MATCH($B34,'Market View'!$A:$A,0),MATCH(L$5,'Market View'!$1:$1,0))="","",INDEX('Market View'!$1:$1048576,MATCH($B34,'Market View'!$A:$A,0),MATCH(L$5,'Market View'!$1:$1,0))),"")</f>
        <v/>
      </c>
      <c r="M34" t="n">
        <v>15</v>
      </c>
      <c r="N34" t="n">
        <v>3.5</v>
      </c>
      <c r="O34">
        <f>IFERROR(IF(INDEX('Market View'!$1:$1048576,MATCH($B34,'Market View'!$A:$A,0),MATCH(O$5,'Market View'!$1:$1,0))="","",INDEX('Market View'!$1:$1048576,MATCH($B34,'Market View'!$A:$A,0),MATCH(O$5,'Market View'!$1:$1,0))),"")</f>
        <v/>
      </c>
      <c r="P34" t="n">
        <v>10</v>
      </c>
      <c r="Q34" t="n">
        <v>2.5</v>
      </c>
      <c r="R34">
        <f>IFERROR(INDEX('Market View'!$1:$1048576,MATCH($B34,'Market View'!$A:$A,0),MATCH(R$5,'Market View'!$1:$1,0)),"")</f>
        <v/>
      </c>
      <c r="T34" t="n">
        <v>32</v>
      </c>
      <c r="U34" t="n">
        <v>28</v>
      </c>
      <c r="V34" t="n">
        <v>66</v>
      </c>
      <c r="W34" t="n">
        <v>60</v>
      </c>
      <c r="X34" t="n">
        <v>3</v>
      </c>
      <c r="Y34" t="n">
        <v>0</v>
      </c>
      <c r="Z34" t="n">
        <v>30</v>
      </c>
      <c r="AA34" t="n">
        <v>450</v>
      </c>
    </row>
    <row r="35">
      <c r="B35" s="1" t="n">
        <v>46242</v>
      </c>
      <c r="F35">
        <f>IFERROR(IF(INDEX('Market View'!$1:$1048576,MATCH($B35,'Market View'!$A:$A,0),MATCH(F$5,'Market View'!$1:$1,0))="","",INDEX('Market View'!$1:$1048576,MATCH($B35,'Market View'!$A:$A,0),MATCH(F$5,'Market View'!$1:$1,0))),"")</f>
        <v/>
      </c>
      <c r="G35" t="n">
        <v>12</v>
      </c>
      <c r="H35" t="n">
        <v>3</v>
      </c>
      <c r="I35">
        <f>IFERROR(IF(INDEX('Market View'!$1:$1048576,MATCH($B35,'Market View'!$A:$A,0),MATCH(I$5,'Market View'!$1:$1,0))="","",INDEX('Market View'!$1:$1048576,MATCH($B35,'Market View'!$A:$A,0),MATCH(I$5,'Market View'!$1:$1,0))),"")</f>
        <v/>
      </c>
      <c r="J35" t="n">
        <v>8</v>
      </c>
      <c r="K35" t="n">
        <v>2</v>
      </c>
      <c r="L35">
        <f>IFERROR(IF(INDEX('Market View'!$1:$1048576,MATCH($B35,'Market View'!$A:$A,0),MATCH(L$5,'Market View'!$1:$1,0))="","",INDEX('Market View'!$1:$1048576,MATCH($B35,'Market View'!$A:$A,0),MATCH(L$5,'Market View'!$1:$1,0))),"")</f>
        <v/>
      </c>
      <c r="M35" t="n">
        <v>15</v>
      </c>
      <c r="N35" t="n">
        <v>3.5</v>
      </c>
      <c r="O35">
        <f>IFERROR(IF(INDEX('Market View'!$1:$1048576,MATCH($B35,'Market View'!$A:$A,0),MATCH(O$5,'Market View'!$1:$1,0))="","",INDEX('Market View'!$1:$1048576,MATCH($B35,'Market View'!$A:$A,0),MATCH(O$5,'Market View'!$1:$1,0))),"")</f>
        <v/>
      </c>
      <c r="P35" t="n">
        <v>10</v>
      </c>
      <c r="Q35" t="n">
        <v>2.5</v>
      </c>
      <c r="R35">
        <f>IFERROR(INDEX('Market View'!$1:$1048576,MATCH($B35,'Market View'!$A:$A,0),MATCH(R$5,'Market View'!$1:$1,0)),"")</f>
        <v/>
      </c>
      <c r="T35" t="n">
        <v>32</v>
      </c>
      <c r="U35" t="n">
        <v>28</v>
      </c>
      <c r="V35" t="n">
        <v>66</v>
      </c>
      <c r="W35" t="n">
        <v>60</v>
      </c>
      <c r="X35" t="n">
        <v>3</v>
      </c>
      <c r="Y35" t="n">
        <v>0</v>
      </c>
      <c r="Z35" t="n">
        <v>30</v>
      </c>
      <c r="AA35" t="n">
        <v>450</v>
      </c>
    </row>
    <row r="36">
      <c r="B36" s="1" t="n">
        <v>46243</v>
      </c>
      <c r="F36">
        <f>IFERROR(IF(INDEX('Market View'!$1:$1048576,MATCH($B36,'Market View'!$A:$A,0),MATCH(F$5,'Market View'!$1:$1,0))="","",INDEX('Market View'!$1:$1048576,MATCH($B36,'Market View'!$A:$A,0),MATCH(F$5,'Market View'!$1:$1,0))),"")</f>
        <v/>
      </c>
      <c r="G36" t="n">
        <v>12</v>
      </c>
      <c r="H36" t="n">
        <v>3</v>
      </c>
      <c r="I36">
        <f>IFERROR(IF(INDEX('Market View'!$1:$1048576,MATCH($B36,'Market View'!$A:$A,0),MATCH(I$5,'Market View'!$1:$1,0))="","",INDEX('Market View'!$1:$1048576,MATCH($B36,'Market View'!$A:$A,0),MATCH(I$5,'Market View'!$1:$1,0))),"")</f>
        <v/>
      </c>
      <c r="J36" t="n">
        <v>8</v>
      </c>
      <c r="K36" t="n">
        <v>2</v>
      </c>
      <c r="L36">
        <f>IFERROR(IF(INDEX('Market View'!$1:$1048576,MATCH($B36,'Market View'!$A:$A,0),MATCH(L$5,'Market View'!$1:$1,0))="","",INDEX('Market View'!$1:$1048576,MATCH($B36,'Market View'!$A:$A,0),MATCH(L$5,'Market View'!$1:$1,0))),"")</f>
        <v/>
      </c>
      <c r="M36" t="n">
        <v>15</v>
      </c>
      <c r="N36" t="n">
        <v>3.5</v>
      </c>
      <c r="O36">
        <f>IFERROR(IF(INDEX('Market View'!$1:$1048576,MATCH($B36,'Market View'!$A:$A,0),MATCH(O$5,'Market View'!$1:$1,0))="","",INDEX('Market View'!$1:$1048576,MATCH($B36,'Market View'!$A:$A,0),MATCH(O$5,'Market View'!$1:$1,0))),"")</f>
        <v/>
      </c>
      <c r="P36" t="n">
        <v>10</v>
      </c>
      <c r="Q36" t="n">
        <v>2.5</v>
      </c>
      <c r="R36">
        <f>IFERROR(INDEX('Market View'!$1:$1048576,MATCH($B36,'Market View'!$A:$A,0),MATCH(R$5,'Market View'!$1:$1,0)),"")</f>
        <v/>
      </c>
      <c r="T36" t="n">
        <v>32</v>
      </c>
      <c r="U36" t="n">
        <v>28</v>
      </c>
      <c r="V36" t="n">
        <v>66</v>
      </c>
      <c r="W36" t="n">
        <v>60</v>
      </c>
      <c r="X36" t="n">
        <v>3</v>
      </c>
      <c r="Y36" t="n">
        <v>0</v>
      </c>
      <c r="Z36" t="n">
        <v>30</v>
      </c>
      <c r="AA36" t="n">
        <v>450</v>
      </c>
    </row>
    <row r="37">
      <c r="B37" s="1" t="n">
        <v>46244</v>
      </c>
      <c r="F37">
        <f>F34</f>
        <v/>
      </c>
      <c r="G37" t="n">
        <v>12</v>
      </c>
      <c r="H37" t="n">
        <v>3</v>
      </c>
      <c r="I37">
        <f>I34</f>
        <v/>
      </c>
      <c r="J37" t="n">
        <v>8</v>
      </c>
      <c r="K37" t="n">
        <v>2</v>
      </c>
      <c r="L37">
        <f>L34</f>
        <v/>
      </c>
      <c r="M37" t="n">
        <v>15</v>
      </c>
      <c r="N37" t="n">
        <v>3.5</v>
      </c>
      <c r="O37">
        <f>O34</f>
        <v/>
      </c>
      <c r="P37" t="n">
        <v>10</v>
      </c>
      <c r="Q37" t="n">
        <v>2.5</v>
      </c>
      <c r="R37">
        <f>R34</f>
        <v/>
      </c>
      <c r="T37" t="n">
        <v>32</v>
      </c>
      <c r="U37" t="n">
        <v>28</v>
      </c>
      <c r="V37" t="n">
        <v>66</v>
      </c>
      <c r="W37" t="n">
        <v>60</v>
      </c>
      <c r="X37" t="n">
        <v>3</v>
      </c>
      <c r="Y37" t="n">
        <v>0</v>
      </c>
      <c r="Z37" t="n">
        <v>30</v>
      </c>
      <c r="AA37" t="n">
        <v>450</v>
      </c>
    </row>
    <row r="38">
      <c r="B38" s="1" t="n">
        <v>46245</v>
      </c>
      <c r="F38">
        <f>IFERROR(IF(INDEX('Market View'!$1:$1048576,MATCH($B38,'Market View'!$A:$A,0),MATCH(F$5,'Market View'!$1:$1,0))="","",INDEX('Market View'!$1:$1048576,MATCH($B38,'Market View'!$A:$A,0),MATCH(F$5,'Market View'!$1:$1,0))),"")</f>
        <v/>
      </c>
      <c r="G38" t="n">
        <v>12</v>
      </c>
      <c r="H38" t="n">
        <v>3</v>
      </c>
      <c r="I38">
        <f>IFERROR(IF(INDEX('Market View'!$1:$1048576,MATCH($B38,'Market View'!$A:$A,0),MATCH(I$5,'Market View'!$1:$1,0))="","",INDEX('Market View'!$1:$1048576,MATCH($B38,'Market View'!$A:$A,0),MATCH(I$5,'Market View'!$1:$1,0))),"")</f>
        <v/>
      </c>
      <c r="J38" t="n">
        <v>8</v>
      </c>
      <c r="K38" t="n">
        <v>2</v>
      </c>
      <c r="L38">
        <f>IFERROR(IF(INDEX('Market View'!$1:$1048576,MATCH($B38,'Market View'!$A:$A,0),MATCH(L$5,'Market View'!$1:$1,0))="","",INDEX('Market View'!$1:$1048576,MATCH($B38,'Market View'!$A:$A,0),MATCH(L$5,'Market View'!$1:$1,0))),"")</f>
        <v/>
      </c>
      <c r="M38" t="n">
        <v>15</v>
      </c>
      <c r="N38" t="n">
        <v>3.5</v>
      </c>
      <c r="O38">
        <f>IFERROR(IF(INDEX('Market View'!$1:$1048576,MATCH($B38,'Market View'!$A:$A,0),MATCH(O$5,'Market View'!$1:$1,0))="","",INDEX('Market View'!$1:$1048576,MATCH($B38,'Market View'!$A:$A,0),MATCH(O$5,'Market View'!$1:$1,0))),"")</f>
        <v/>
      </c>
      <c r="P38" t="n">
        <v>10</v>
      </c>
      <c r="Q38" t="n">
        <v>2.5</v>
      </c>
      <c r="R38">
        <f>IFERROR(INDEX('Market View'!$1:$1048576,MATCH($B38,'Market View'!$A:$A,0),MATCH(R$5,'Market View'!$1:$1,0)),"")</f>
        <v/>
      </c>
      <c r="T38" t="n">
        <v>32</v>
      </c>
      <c r="U38" t="n">
        <v>28</v>
      </c>
      <c r="V38" t="n">
        <v>66</v>
      </c>
      <c r="W38" t="n">
        <v>60</v>
      </c>
      <c r="X38" t="n">
        <v>3</v>
      </c>
      <c r="Y38" t="n">
        <v>0</v>
      </c>
      <c r="Z38" t="n">
        <v>30</v>
      </c>
      <c r="AA38" t="n">
        <v>450</v>
      </c>
    </row>
    <row r="39">
      <c r="B39" s="1" t="n">
        <v>46246</v>
      </c>
      <c r="F39">
        <f>IFERROR(IF(INDEX('Market View'!$1:$1048576,MATCH($B39,'Market View'!$A:$A,0),MATCH(F$5,'Market View'!$1:$1,0))="","",INDEX('Market View'!$1:$1048576,MATCH($B39,'Market View'!$A:$A,0),MATCH(F$5,'Market View'!$1:$1,0))),"")</f>
        <v/>
      </c>
      <c r="G39" t="n">
        <v>12</v>
      </c>
      <c r="H39" t="n">
        <v>3</v>
      </c>
      <c r="I39">
        <f>IFERROR(IF(INDEX('Market View'!$1:$1048576,MATCH($B39,'Market View'!$A:$A,0),MATCH(I$5,'Market View'!$1:$1,0))="","",INDEX('Market View'!$1:$1048576,MATCH($B39,'Market View'!$A:$A,0),MATCH(I$5,'Market View'!$1:$1,0))),"")</f>
        <v/>
      </c>
      <c r="J39" t="n">
        <v>8</v>
      </c>
      <c r="K39" t="n">
        <v>2</v>
      </c>
      <c r="L39">
        <f>IFERROR(IF(INDEX('Market View'!$1:$1048576,MATCH($B39,'Market View'!$A:$A,0),MATCH(L$5,'Market View'!$1:$1,0))="","",INDEX('Market View'!$1:$1048576,MATCH($B39,'Market View'!$A:$A,0),MATCH(L$5,'Market View'!$1:$1,0))),"")</f>
        <v/>
      </c>
      <c r="M39" t="n">
        <v>15</v>
      </c>
      <c r="N39" t="n">
        <v>3.5</v>
      </c>
      <c r="O39">
        <f>IFERROR(IF(INDEX('Market View'!$1:$1048576,MATCH($B39,'Market View'!$A:$A,0),MATCH(O$5,'Market View'!$1:$1,0))="","",INDEX('Market View'!$1:$1048576,MATCH($B39,'Market View'!$A:$A,0),MATCH(O$5,'Market View'!$1:$1,0))),"")</f>
        <v/>
      </c>
      <c r="P39" t="n">
        <v>10</v>
      </c>
      <c r="Q39" t="n">
        <v>2.5</v>
      </c>
      <c r="R39">
        <f>IFERROR(INDEX('Market View'!$1:$1048576,MATCH($B39,'Market View'!$A:$A,0),MATCH(R$5,'Market View'!$1:$1,0)),"")</f>
        <v/>
      </c>
      <c r="T39" t="n">
        <v>32</v>
      </c>
      <c r="U39" t="n">
        <v>28</v>
      </c>
      <c r="V39" t="n">
        <v>66</v>
      </c>
      <c r="W39" t="n">
        <v>60</v>
      </c>
      <c r="X39" t="n">
        <v>3</v>
      </c>
      <c r="Y39" t="n">
        <v>0</v>
      </c>
      <c r="Z39" t="n">
        <v>30</v>
      </c>
      <c r="AA39" t="n">
        <v>450</v>
      </c>
    </row>
    <row r="40">
      <c r="B40" s="1" t="n">
        <v>46247</v>
      </c>
      <c r="F40">
        <f>IFERROR(IF(INDEX('Market View'!$1:$1048576,MATCH($B40,'Market View'!$A:$A,0),MATCH(F$5,'Market View'!$1:$1,0))="","",INDEX('Market View'!$1:$1048576,MATCH($B40,'Market View'!$A:$A,0),MATCH(F$5,'Market View'!$1:$1,0))),"")</f>
        <v/>
      </c>
      <c r="G40" t="n">
        <v>12</v>
      </c>
      <c r="H40" t="n">
        <v>3</v>
      </c>
      <c r="I40">
        <f>IFERROR(IF(INDEX('Market View'!$1:$1048576,MATCH($B40,'Market View'!$A:$A,0),MATCH(I$5,'Market View'!$1:$1,0))="","",INDEX('Market View'!$1:$1048576,MATCH($B40,'Market View'!$A:$A,0),MATCH(I$5,'Market View'!$1:$1,0))),"")</f>
        <v/>
      </c>
      <c r="J40" t="n">
        <v>8</v>
      </c>
      <c r="K40" t="n">
        <v>2</v>
      </c>
      <c r="L40">
        <f>IFERROR(IF(INDEX('Market View'!$1:$1048576,MATCH($B40,'Market View'!$A:$A,0),MATCH(L$5,'Market View'!$1:$1,0))="","",INDEX('Market View'!$1:$1048576,MATCH($B40,'Market View'!$A:$A,0),MATCH(L$5,'Market View'!$1:$1,0))),"")</f>
        <v/>
      </c>
      <c r="M40" t="n">
        <v>15</v>
      </c>
      <c r="N40" t="n">
        <v>3.5</v>
      </c>
      <c r="O40">
        <f>IFERROR(IF(INDEX('Market View'!$1:$1048576,MATCH($B40,'Market View'!$A:$A,0),MATCH(O$5,'Market View'!$1:$1,0))="","",INDEX('Market View'!$1:$1048576,MATCH($B40,'Market View'!$A:$A,0),MATCH(O$5,'Market View'!$1:$1,0))),"")</f>
        <v/>
      </c>
      <c r="P40" t="n">
        <v>10</v>
      </c>
      <c r="Q40" t="n">
        <v>2.5</v>
      </c>
      <c r="R40">
        <f>IFERROR(INDEX('Market View'!$1:$1048576,MATCH($B40,'Market View'!$A:$A,0),MATCH(R$5,'Market View'!$1:$1,0)),"")</f>
        <v/>
      </c>
      <c r="T40" t="n">
        <v>32</v>
      </c>
      <c r="U40" t="n">
        <v>28</v>
      </c>
      <c r="V40" t="n">
        <v>66</v>
      </c>
      <c r="W40" t="n">
        <v>60</v>
      </c>
      <c r="X40" t="n">
        <v>3</v>
      </c>
      <c r="Y40" t="n">
        <v>0</v>
      </c>
      <c r="Z40" t="n">
        <v>30</v>
      </c>
      <c r="AA40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model://FEED/SERIE_A/HIGH/ALL</t>
        </is>
      </c>
      <c r="C1" t="inlineStr">
        <is>
          <t>model://FEED/SERIE_B/HIGH/ALL</t>
        </is>
      </c>
      <c r="D1" t="inlineStr">
        <is>
          <t>model://FEED/SERIE_C/HIGH/ALL</t>
        </is>
      </c>
      <c r="E1" t="inlineStr">
        <is>
          <t>model://FEED/SERIE_D/HIGH/ALL</t>
        </is>
      </c>
      <c r="F1" t="inlineStr">
        <is>
          <t>model://FX/USD.EUR/MID/ALL</t>
        </is>
      </c>
    </row>
    <row r="2">
      <c r="A2" s="1" t="n">
        <v>46216</v>
      </c>
      <c r="B2" t="n">
        <v>1295</v>
      </c>
      <c r="C2" t="n">
        <v>495.25</v>
      </c>
      <c r="D2" t="n">
        <v>615.5</v>
      </c>
      <c r="E2" t="n">
        <v>1275.75</v>
      </c>
      <c r="F2" t="n">
        <v>1.14</v>
      </c>
    </row>
    <row r="3">
      <c r="A3" s="1" t="n">
        <v>46217</v>
      </c>
      <c r="B3" t="n">
        <v>1302</v>
      </c>
      <c r="C3" t="n">
        <v>502.25</v>
      </c>
      <c r="D3" t="n">
        <v>622.5</v>
      </c>
      <c r="E3" t="n">
        <v>1282.75</v>
      </c>
      <c r="F3" t="n">
        <v>1.143</v>
      </c>
    </row>
    <row r="4">
      <c r="A4" s="1" t="n">
        <v>46218</v>
      </c>
      <c r="B4" t="n">
        <v>1298</v>
      </c>
      <c r="C4" t="n">
        <v>498.25</v>
      </c>
      <c r="D4" t="n">
        <v>618.5</v>
      </c>
      <c r="E4" t="n">
        <v>1278.75</v>
      </c>
      <c r="F4" t="n">
        <v>1.146</v>
      </c>
    </row>
    <row r="5">
      <c r="A5" s="1" t="n">
        <v>46219</v>
      </c>
      <c r="B5" t="n">
        <v>1305</v>
      </c>
      <c r="C5" t="n">
        <v>505.25</v>
      </c>
      <c r="D5" t="n">
        <v>625.5</v>
      </c>
      <c r="E5" t="n">
        <v>1285.75</v>
      </c>
      <c r="F5" t="n">
        <v>1.142</v>
      </c>
    </row>
    <row r="6">
      <c r="A6" s="1" t="n">
        <v>46220</v>
      </c>
      <c r="B6" t="n">
        <v>1301</v>
      </c>
      <c r="C6" t="n">
        <v>501.25</v>
      </c>
      <c r="D6" t="n">
        <v>621.5</v>
      </c>
      <c r="E6" t="n">
        <v>1281.75</v>
      </c>
      <c r="F6" t="n">
        <v>1.145</v>
      </c>
    </row>
    <row r="7">
      <c r="A7" s="1" t="n">
        <v>46223</v>
      </c>
      <c r="B7" t="n">
        <v>1300</v>
      </c>
      <c r="C7" t="n">
        <v>500.25</v>
      </c>
      <c r="D7" t="n">
        <v>620.5</v>
      </c>
      <c r="E7" t="n">
        <v>1280.75</v>
      </c>
      <c r="F7" t="n">
        <v>1.14</v>
      </c>
    </row>
    <row r="8">
      <c r="A8" s="1" t="n">
        <v>46224</v>
      </c>
      <c r="B8" t="n">
        <v>1296</v>
      </c>
      <c r="C8" t="n">
        <v>496.25</v>
      </c>
      <c r="D8" t="n">
        <v>616.5</v>
      </c>
      <c r="E8" t="n">
        <v>1276.75</v>
      </c>
      <c r="F8" t="n">
        <v>1.143</v>
      </c>
    </row>
    <row r="9">
      <c r="A9" s="1" t="n">
        <v>46225</v>
      </c>
      <c r="B9" t="n">
        <v>1303</v>
      </c>
      <c r="C9" t="n">
        <v>503.25</v>
      </c>
      <c r="D9" t="n">
        <v>623.5</v>
      </c>
      <c r="E9" t="n">
        <v>1283.75</v>
      </c>
      <c r="F9" t="n">
        <v>1.146</v>
      </c>
    </row>
    <row r="10">
      <c r="A10" s="1" t="n">
        <v>46226</v>
      </c>
      <c r="B10" t="n">
        <v>1299</v>
      </c>
      <c r="C10" t="n">
        <v>499.25</v>
      </c>
      <c r="D10" t="n">
        <v>619.5</v>
      </c>
      <c r="E10" t="n">
        <v>1279.75</v>
      </c>
      <c r="F10" t="n">
        <v>1.142</v>
      </c>
    </row>
    <row r="11">
      <c r="A11" s="1" t="n">
        <v>46227</v>
      </c>
      <c r="B11" t="n">
        <v>1295</v>
      </c>
      <c r="C11" t="n">
        <v>495.25</v>
      </c>
      <c r="D11" t="n">
        <v>615.5</v>
      </c>
      <c r="E11" t="n">
        <v>1275.75</v>
      </c>
      <c r="F11" t="n">
        <v>1.145</v>
      </c>
    </row>
    <row r="12">
      <c r="A12" s="1" t="n">
        <v>46230</v>
      </c>
      <c r="B12" t="n">
        <v>1305</v>
      </c>
      <c r="C12" t="n">
        <v>505.25</v>
      </c>
      <c r="D12" t="n">
        <v>625.5</v>
      </c>
      <c r="E12" t="n">
        <v>1285.75</v>
      </c>
      <c r="F12" t="n">
        <v>1.14</v>
      </c>
    </row>
    <row r="13">
      <c r="A13" s="1" t="n">
        <v>46231</v>
      </c>
      <c r="B13" t="n">
        <v>1301</v>
      </c>
      <c r="C13" t="n">
        <v>501.25</v>
      </c>
      <c r="D13" t="n">
        <v>621.5</v>
      </c>
      <c r="E13" t="n">
        <v>1281.75</v>
      </c>
      <c r="F13" t="n">
        <v>1.143</v>
      </c>
    </row>
    <row r="14">
      <c r="A14" s="1" t="n">
        <v>46232</v>
      </c>
      <c r="B14" t="n">
        <v>1297</v>
      </c>
      <c r="C14" t="n">
        <v>497.25</v>
      </c>
      <c r="D14" t="n">
        <v>617.5</v>
      </c>
      <c r="E14" t="n">
        <v>1277.75</v>
      </c>
      <c r="F14" t="n">
        <v>1.146</v>
      </c>
    </row>
    <row r="15">
      <c r="A15" s="1" t="n">
        <v>46233</v>
      </c>
      <c r="B15" t="n">
        <v>1304</v>
      </c>
      <c r="C15" t="n">
        <v>504.25</v>
      </c>
      <c r="D15" t="n">
        <v>624.5</v>
      </c>
      <c r="E15" t="n">
        <v>1284.75</v>
      </c>
      <c r="F15" t="n">
        <v>1.142</v>
      </c>
    </row>
    <row r="16">
      <c r="A16" s="1" t="n">
        <v>46234</v>
      </c>
      <c r="B16" t="n">
        <v>1300</v>
      </c>
      <c r="C16" t="n">
        <v>500.25</v>
      </c>
      <c r="D16" t="n">
        <v>620.5</v>
      </c>
      <c r="E16" t="n">
        <v>1280.75</v>
      </c>
      <c r="F16" t="n">
        <v>1.145</v>
      </c>
    </row>
    <row r="17">
      <c r="A17" s="1" t="n">
        <v>46237</v>
      </c>
      <c r="B17" t="n">
        <v>1299</v>
      </c>
      <c r="C17" t="n">
        <v>499.25</v>
      </c>
      <c r="D17" t="n">
        <v>619.5</v>
      </c>
      <c r="E17" t="n">
        <v>1279.75</v>
      </c>
      <c r="F17" t="n">
        <v>1.14</v>
      </c>
    </row>
    <row r="18">
      <c r="A18" s="1" t="n">
        <v>46238</v>
      </c>
      <c r="B18" t="n">
        <v>1295</v>
      </c>
      <c r="C18" t="n">
        <v>495.25</v>
      </c>
      <c r="D18" t="n">
        <v>615.5</v>
      </c>
      <c r="E18" t="n">
        <v>1275.75</v>
      </c>
      <c r="F18" t="n">
        <v>1.143</v>
      </c>
    </row>
    <row r="19">
      <c r="A19" s="1" t="n">
        <v>46239</v>
      </c>
      <c r="B19" t="n">
        <v>1302</v>
      </c>
      <c r="C19" t="n">
        <v>502.25</v>
      </c>
      <c r="D19" t="n">
        <v>622.5</v>
      </c>
      <c r="E19" t="n">
        <v>1282.75</v>
      </c>
      <c r="F19" t="n">
        <v>1.146</v>
      </c>
    </row>
    <row r="20">
      <c r="A20" s="1" t="n">
        <v>46240</v>
      </c>
      <c r="B20" t="n">
        <v>1298</v>
      </c>
      <c r="C20" t="n">
        <v>498.25</v>
      </c>
      <c r="D20" t="n">
        <v>618.5</v>
      </c>
      <c r="E20" t="n">
        <v>1278.75</v>
      </c>
      <c r="F20" t="n">
        <v>1.142</v>
      </c>
    </row>
    <row r="21">
      <c r="A21" s="1" t="n">
        <v>46241</v>
      </c>
      <c r="B21" t="n">
        <v>1305</v>
      </c>
      <c r="C21" t="n">
        <v>505.25</v>
      </c>
      <c r="D21" t="n">
        <v>625.5</v>
      </c>
      <c r="E21" t="n">
        <v>1285.75</v>
      </c>
      <c r="F21" t="n">
        <v>1.145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CO61"/>
  <sheetViews>
    <sheetView workbookViewId="0">
      <selection activeCell="A1" sqref="A1"/>
    </sheetView>
  </sheetViews>
  <sheetFormatPr baseColWidth="8" defaultRowHeight="15"/>
  <sheetData>
    <row r="6">
      <c r="B6" t="inlineStr">
        <is>
          <t>Data Output</t>
        </is>
      </c>
      <c r="C6">
        <f>IF(Data_Manual="",TODAY(),Data_Manual)</f>
        <v/>
      </c>
    </row>
    <row r="7">
      <c r="B7" t="inlineStr">
        <is>
          <t>Data Manual</t>
        </is>
      </c>
      <c r="C7" s="1" t="n">
        <v>46244</v>
      </c>
    </row>
    <row r="13">
      <c r="B13" t="inlineStr">
        <is>
          <t>Data</t>
        </is>
      </c>
      <c r="C13" t="inlineStr">
        <is>
          <t>Indexante Z</t>
        </is>
      </c>
      <c r="D13" t="inlineStr">
        <is>
          <t>Indexante B</t>
        </is>
      </c>
      <c r="E13" t="inlineStr">
        <is>
          <t>Indexante C</t>
        </is>
      </c>
      <c r="F13" t="inlineStr">
        <is>
          <t>Indexante A</t>
        </is>
      </c>
      <c r="G13" t="inlineStr">
        <is>
          <t>Indexante D</t>
        </is>
      </c>
      <c r="H13" t="inlineStr">
        <is>
          <t>Câmbio</t>
        </is>
      </c>
      <c r="W13" t="inlineStr">
        <is>
          <t>Produto C</t>
        </is>
      </c>
      <c r="X13" t="inlineStr">
        <is>
          <t>Produto B</t>
        </is>
      </c>
      <c r="Z13" t="inlineStr">
        <is>
          <t>Produto A</t>
        </is>
      </c>
      <c r="AC13" t="inlineStr">
        <is>
          <t>EUR / USD</t>
        </is>
      </c>
      <c r="AF13" t="inlineStr">
        <is>
          <t>MOEDA</t>
        </is>
      </c>
      <c r="AG13" t="inlineStr">
        <is>
          <t>UNIDADE</t>
        </is>
      </c>
      <c r="AJ13" t="inlineStr">
        <is>
          <t>FUEL</t>
        </is>
      </c>
      <c r="AK13" t="inlineStr">
        <is>
          <t>MGO</t>
        </is>
      </c>
    </row>
    <row r="14">
      <c r="B14" s="1">
        <f>B15-1</f>
        <v/>
      </c>
      <c r="C14">
        <f>IF($C$6&gt;=$B14,INDEX(Index_Z_Preço,MATCH($B14,Data_Lista,0)),"")</f>
        <v/>
      </c>
      <c r="D14">
        <f>IF($C$6&gt;=$B14,INDEX(Index_B_Preço,MATCH($B14,Data_Lista,0)),"")</f>
        <v/>
      </c>
      <c r="E14">
        <f>IF($C$6&gt;=$B14,INDEX(Index_C_Preço,MATCH($B14,Data_Lista,0)),"")</f>
        <v/>
      </c>
      <c r="F14">
        <f>IF($C$6&gt;=$B14,INDEX(Index_A_Preço,MATCH($B14,Data_Lista,0)),"")</f>
        <v/>
      </c>
      <c r="G14">
        <f>IF($C$6&gt;=$B14,INDEX(Index_D_Preço,MATCH($B14,Data_Lista,0)),"")</f>
        <v/>
      </c>
      <c r="H14">
        <f>IF($C$6&gt;=$B14,INDEX(Index_TaxaCâmbio,MATCH($B14,Data_Lista,0)),"")</f>
        <v/>
      </c>
      <c r="M14">
        <f>H24</f>
        <v/>
      </c>
      <c r="U14" t="inlineStr">
        <is>
          <t>PREÇO DE REFERÊNCIA USD/TM</t>
        </is>
      </c>
      <c r="W14">
        <f>IF($AG$14="M3",IF($AF$14="EUR",(MAX(M23,M32)+W61)/$AC$14,MAX(M23,M32)+W61)*0.953,IF($AF$14="EUR",(MAX(M23,M32)+W61)/$AC$14,MAX(M23,M32)+W61))+10</f>
        <v/>
      </c>
      <c r="X14">
        <f>IF($AG$14="M3",IF($AF$14="EUR",(MAX(L23,L32)+W61)/$AC$14,MAX(L23,L32)+W61)*0.989,IF($AF$14="EUR",(MAX(L23,L32)+W61)/$AC$14,MAX(L23,L32)+W61))+10</f>
        <v/>
      </c>
      <c r="Z14">
        <f>IF($AG$14="M3",IF($AF$14="EUR",(MAX(N23,N32)+W61)/$AC$14,MAX(N23,N32)+W61)*0.855,IF($AF$14="EUR",(MAX(N23,N32)+W61)/$AC$14,MAX(N23,N32)+W61))+10</f>
        <v/>
      </c>
      <c r="AC14">
        <f>INDEX(Index_TaxaCâmbio,MATCH(Data_Output-3,Data_Lista,0))</f>
        <v/>
      </c>
      <c r="AF14" t="inlineStr">
        <is>
          <t>USD</t>
        </is>
      </c>
      <c r="AG14" t="inlineStr">
        <is>
          <t>TM</t>
        </is>
      </c>
      <c r="AI14" t="inlineStr">
        <is>
          <t>PortoNorte</t>
        </is>
      </c>
      <c r="AJ14">
        <f>INDEX(INDIRECT("CustosLogísticos_"&amp;AJ$13&amp;"_"&amp;$AI14),MATCH(Data_Output,Data_Lista,0))</f>
        <v/>
      </c>
      <c r="AK14">
        <f>INDEX(INDIRECT("CustosLogísticos_"&amp;AK$13&amp;"_"&amp;$AI14),MATCH(Data_Output,Data_Lista,0))</f>
        <v/>
      </c>
    </row>
    <row r="15">
      <c r="B15" s="1">
        <f>B16-1</f>
        <v/>
      </c>
      <c r="C15">
        <f>IF($C$6&gt;=$B15,INDEX(Index_Z_Preço,MATCH($B15,Data_Lista,0)),"")</f>
        <v/>
      </c>
      <c r="D15">
        <f>IF($C$6&gt;=$B15,INDEX(Index_B_Preço,MATCH($B15,Data_Lista,0)),"")</f>
        <v/>
      </c>
      <c r="E15">
        <f>IF($C$6&gt;=$B15,INDEX(Index_C_Preço,MATCH($B15,Data_Lista,0)),"")</f>
        <v/>
      </c>
      <c r="F15">
        <f>IF($C$6&gt;=$B15,INDEX(Index_A_Preço,MATCH($B15,Data_Lista,0)),"")</f>
        <v/>
      </c>
      <c r="G15">
        <f>IF($C$6&gt;=$B15,INDEX(Index_D_Preço,MATCH($B15,Data_Lista,0)),"")</f>
        <v/>
      </c>
      <c r="H15">
        <f>IF($C$6&gt;=$B15,INDEX(Index_TaxaCâmbio,MATCH($B15,Data_Lista,0)),"")</f>
        <v/>
      </c>
      <c r="AI15" t="inlineStr">
        <is>
          <t>PortoSul</t>
        </is>
      </c>
      <c r="AJ15">
        <f>INDEX(INDIRECT("CustosLogísticos_"&amp;AJ$13&amp;"_"&amp;$AI15),MATCH(Data_Output,Data_Lista,0))</f>
        <v/>
      </c>
      <c r="AK15">
        <f>INDEX(INDIRECT("CustosLogísticos_"&amp;AK$13&amp;"_"&amp;$AI15),MATCH(Data_Output,Data_Lista,0))</f>
        <v/>
      </c>
    </row>
    <row r="16">
      <c r="B16" s="1">
        <f>B17-1</f>
        <v/>
      </c>
      <c r="C16">
        <f>IF($C$6&gt;=$B16,INDEX(Index_Z_Preço,MATCH($B16,Data_Lista,0)),"")</f>
        <v/>
      </c>
      <c r="D16">
        <f>IF($C$6&gt;=$B16,INDEX(Index_B_Preço,MATCH($B16,Data_Lista,0)),"")</f>
        <v/>
      </c>
      <c r="E16">
        <f>IF($C$6&gt;=$B16,INDEX(Index_C_Preço,MATCH($B16,Data_Lista,0)),"")</f>
        <v/>
      </c>
      <c r="F16">
        <f>IF($C$6&gt;=$B16,INDEX(Index_A_Preço,MATCH($B16,Data_Lista,0)),"")</f>
        <v/>
      </c>
      <c r="G16">
        <f>IF($C$6&gt;=$B16,INDEX(Index_D_Preço,MATCH($B16,Data_Lista,0)),"")</f>
        <v/>
      </c>
      <c r="H16">
        <f>IF($C$6&gt;=$B16,INDEX(Index_TaxaCâmbio,MATCH($B16,Data_Lista,0)),"")</f>
        <v/>
      </c>
    </row>
    <row r="17">
      <c r="B17" s="1">
        <f>B18-1</f>
        <v/>
      </c>
      <c r="C17">
        <f>IF($C$6&gt;=$B17,INDEX(Index_Z_Preço,MATCH($B17,Data_Lista,0)),"")</f>
        <v/>
      </c>
      <c r="D17">
        <f>IF($C$6&gt;=$B17,INDEX(Index_B_Preço,MATCH($B17,Data_Lista,0)),"")</f>
        <v/>
      </c>
      <c r="E17">
        <f>IF($C$6&gt;=$B17,INDEX(Index_C_Preço,MATCH($B17,Data_Lista,0)),"")</f>
        <v/>
      </c>
      <c r="F17">
        <f>IF($C$6&gt;=$B17,INDEX(Index_A_Preço,MATCH($B17,Data_Lista,0)),"")</f>
        <v/>
      </c>
      <c r="G17">
        <f>IF($C$6&gt;=$B17,INDEX(Index_D_Preço,MATCH($B17,Data_Lista,0)),"")</f>
        <v/>
      </c>
      <c r="H17">
        <f>IF($C$6&gt;=$B17,INDEX(Index_TaxaCâmbio,MATCH($B17,Data_Lista,0)),"")</f>
        <v/>
      </c>
      <c r="U17" t="inlineStr">
        <is>
          <t>ABAST. A OCORRER ATÉ:</t>
        </is>
      </c>
      <c r="W17">
        <f>MAX(M23,M32)-M32</f>
        <v/>
      </c>
      <c r="X17">
        <f>MAX(L23,L32)-L32</f>
        <v/>
      </c>
      <c r="Z17">
        <f>MAX(N23,N32)-N32</f>
        <v/>
      </c>
    </row>
    <row r="18">
      <c r="B18" s="1">
        <f>B19-3</f>
        <v/>
      </c>
      <c r="C18">
        <f>IF($C$6&gt;=$B18,INDEX(Index_Z_Preço,MATCH($B18,Data_Lista,0)),"")</f>
        <v/>
      </c>
      <c r="D18">
        <f>IF($C$6&gt;=$B18,INDEX(Index_B_Preço,MATCH($B18,Data_Lista,0)),"")</f>
        <v/>
      </c>
      <c r="E18">
        <f>IF($C$6&gt;=$B18,INDEX(Index_C_Preço,MATCH($B18,Data_Lista,0)),"")</f>
        <v/>
      </c>
      <c r="F18">
        <f>IF($C$6&gt;=$B18,INDEX(Index_A_Preço,MATCH($B18,Data_Lista,0)),"")</f>
        <v/>
      </c>
      <c r="G18">
        <f>IF($C$6&gt;=$B18,INDEX(Index_D_Preço,MATCH($B18,Data_Lista,0)),"")</f>
        <v/>
      </c>
      <c r="H18">
        <f>IF($C$6&gt;=$B18,INDEX(Index_TaxaCâmbio,MATCH($B18,Data_Lista,0)),"")</f>
        <v/>
      </c>
      <c r="U18" t="inlineStr">
        <is>
          <t>ABAST. A OCORRER APÓS:</t>
        </is>
      </c>
      <c r="W18">
        <f>MAX(M23,M32)-M23</f>
        <v/>
      </c>
      <c r="X18">
        <f>MAX(L23,L32)-L23</f>
        <v/>
      </c>
      <c r="Z18">
        <f>MAX(N23,N32)-N23</f>
        <v/>
      </c>
    </row>
    <row r="19">
      <c r="B19" s="1">
        <f>IF(WEEKDAY(Data_Output,2)=1,Data_Output,Data_Output-WEEKDAY(Data_Output,2)+1)</f>
        <v/>
      </c>
      <c r="C19">
        <f>IF($C$6&gt;=$B19,INDEX(Index_Z_Preço,MATCH($B19,Data_Lista,0)),"")</f>
        <v/>
      </c>
      <c r="D19">
        <f>IF($C$6&gt;=$B19,INDEX(Index_B_Preço,MATCH($B19,Data_Lista,0)),"")</f>
        <v/>
      </c>
      <c r="E19">
        <f>IF($C$6&gt;=$B19,INDEX(Index_C_Preço,MATCH($B19,Data_Lista,0)),"")</f>
        <v/>
      </c>
      <c r="F19">
        <f>IF($C$6&gt;=$B19,INDEX(Index_A_Preço,MATCH($B19,Data_Lista,0)),"")</f>
        <v/>
      </c>
      <c r="G19">
        <f>IF($C$6&gt;=$B19,INDEX(Index_D_Preço,MATCH($B19,Data_Lista,0)),"")</f>
        <v/>
      </c>
      <c r="H19">
        <f>IF($C$6&gt;=$B19,INDEX(Index_TaxaCâmbio,MATCH($B19,Data_Lista,0)),"")</f>
        <v/>
      </c>
      <c r="K19" t="inlineStr">
        <is>
          <t>Cedência USD</t>
        </is>
      </c>
      <c r="L19">
        <f>+D24+D27</f>
        <v/>
      </c>
      <c r="M19">
        <f>+E24+E27</f>
        <v/>
      </c>
      <c r="N19">
        <f>+F24+F27</f>
        <v/>
      </c>
      <c r="U19" t="inlineStr">
        <is>
          <t>ADICIONAL</t>
        </is>
      </c>
      <c r="W19">
        <f>INDEX(PreçosSpot_C_DescontoAdicional,MATCH(Data_Output,Data_Lista,0))</f>
        <v/>
      </c>
      <c r="X19">
        <f>INDEX(PreçosSpot_C_DescontoAdicional,MATCH(Data_Output,Data_Lista,0))</f>
        <v/>
      </c>
      <c r="Z19">
        <f>INDEX(PreçosSpot_C_DescontoAdicional,MATCH(Data_Output,Data_Lista,0))</f>
        <v/>
      </c>
    </row>
    <row r="20">
      <c r="B20" s="1">
        <f>B19+1</f>
        <v/>
      </c>
      <c r="C20">
        <f>IF($C$6&gt;=$B20,INDEX(Index_Z_Preço,MATCH($B20,Data_Lista,0)),"")</f>
        <v/>
      </c>
      <c r="D20">
        <f>IF($C$6&gt;=$B20,INDEX(Index_B_Preço,MATCH($B20,Data_Lista,0)),"")</f>
        <v/>
      </c>
      <c r="E20">
        <f>IF($C$6&gt;=$B20,INDEX(Index_C_Preço,MATCH($B20,Data_Lista,0)),"")</f>
        <v/>
      </c>
      <c r="F20">
        <f>IF($C$6&gt;=$B20,INDEX(Index_A_Preço,MATCH($B20,Data_Lista,0)),"")</f>
        <v/>
      </c>
      <c r="G20">
        <f>IF($C$6&gt;=$B20,INDEX(Index_D_Preço,MATCH($B20,Data_Lista,0)),"")</f>
        <v/>
      </c>
      <c r="H20">
        <f>IF($C$6&gt;=$B20,INDEX(Index_TaxaCâmbio,MATCH($B20,Data_Lista,0)),"")</f>
        <v/>
      </c>
      <c r="K20" t="inlineStr">
        <is>
          <t>Margem alvo EUR</t>
        </is>
      </c>
      <c r="L20">
        <f>INDEX(PreçosSpot_C_Margem,MATCH(Data_Output,Data_Lista,0))</f>
        <v/>
      </c>
      <c r="M20">
        <f>INDEX(PreçosSpot_C_Margem,MATCH(Data_Output,Data_Lista,0))</f>
        <v/>
      </c>
      <c r="N20">
        <f>INDEX(PreçosSpot_C_Margem,MATCH(Data_Output,Data_Lista,0))</f>
        <v/>
      </c>
    </row>
    <row r="21">
      <c r="B21" s="1">
        <f>B20+1</f>
        <v/>
      </c>
      <c r="C21">
        <f>IF($C$6&gt;=$B21,INDEX(Index_Z_Preço,MATCH($B21,Data_Lista,0)),"")</f>
        <v/>
      </c>
      <c r="D21">
        <f>IF($C$6&gt;=$B21,INDEX(Index_B_Preço,MATCH($B21,Data_Lista,0)),"")</f>
        <v/>
      </c>
      <c r="E21">
        <f>IF($C$6&gt;=$B21,INDEX(Index_C_Preço,MATCH($B21,Data_Lista,0)),"")</f>
        <v/>
      </c>
      <c r="F21">
        <f>IF($C$6&gt;=$B21,INDEX(Index_A_Preço,MATCH($B21,Data_Lista,0)),"")</f>
        <v/>
      </c>
      <c r="G21">
        <f>IF($C$6&gt;=$B21,INDEX(Index_D_Preço,MATCH($B21,Data_Lista,0)),"")</f>
        <v/>
      </c>
      <c r="H21">
        <f>IF($C$6&gt;=$B21,INDEX(Index_TaxaCâmbio,MATCH($B21,Data_Lista,0)),"")</f>
        <v/>
      </c>
      <c r="K21" t="inlineStr">
        <is>
          <t>Margem USD</t>
        </is>
      </c>
      <c r="L21">
        <f>L20*$M$14</f>
        <v/>
      </c>
      <c r="M21">
        <f>M20*$M$14</f>
        <v/>
      </c>
      <c r="N21">
        <f>N20*$M$14</f>
        <v/>
      </c>
      <c r="U21" t="inlineStr">
        <is>
          <t>PREÇO MÍNIMO ATÉ:</t>
        </is>
      </c>
      <c r="W21">
        <f>+W14-W17-W19</f>
        <v/>
      </c>
      <c r="X21">
        <f>+X14-X17-X19</f>
        <v/>
      </c>
      <c r="Z21">
        <f>+Z14-Z17-Z19</f>
        <v/>
      </c>
      <c r="CL21" t="inlineStr">
        <is>
          <t>CLIENTE A — prémio por porto EUR/MT</t>
        </is>
      </c>
    </row>
    <row r="22">
      <c r="B22" s="1">
        <f>B21+1</f>
        <v/>
      </c>
      <c r="C22">
        <f>IF($C$6&gt;=$B22,INDEX(Index_Z_Preço,MATCH($B22,Data_Lista,0)),"")</f>
        <v/>
      </c>
      <c r="D22">
        <f>IF($C$6&gt;=$B22,INDEX(Index_B_Preço,MATCH($B22,Data_Lista,0)),"")</f>
        <v/>
      </c>
      <c r="E22">
        <f>IF($C$6&gt;=$B22,INDEX(Index_C_Preço,MATCH($B22,Data_Lista,0)),"")</f>
        <v/>
      </c>
      <c r="F22">
        <f>IF($C$6&gt;=$B22,INDEX(Index_A_Preço,MATCH($B22,Data_Lista,0)),"")</f>
        <v/>
      </c>
      <c r="G22">
        <f>IF($C$6&gt;=$B22,INDEX(Index_D_Preço,MATCH($B22,Data_Lista,0)),"")</f>
        <v/>
      </c>
      <c r="H22">
        <f>IF($C$6&gt;=$B22,INDEX(Index_TaxaCâmbio,MATCH($B22,Data_Lista,0)),"")</f>
        <v/>
      </c>
      <c r="U22" t="inlineStr">
        <is>
          <t>PREÇO MÍNIMO APÓS:</t>
        </is>
      </c>
      <c r="W22">
        <f>+W14-W18-W19</f>
        <v/>
      </c>
      <c r="X22">
        <f>+X14-X18-X19</f>
        <v/>
      </c>
      <c r="Z22">
        <f>+Z14-Z18-Z19</f>
        <v/>
      </c>
      <c r="CN22" t="inlineStr">
        <is>
          <t>Porto Norte</t>
        </is>
      </c>
      <c r="CO22" t="inlineStr">
        <is>
          <t>Porto Sul</t>
        </is>
      </c>
    </row>
    <row r="23">
      <c r="B23" s="1">
        <f>B22+1</f>
        <v/>
      </c>
      <c r="C23">
        <f>IF($C$6&gt;=$B23,INDEX(Index_Z_Preço,MATCH($B23,Data_Lista,0)),"")</f>
        <v/>
      </c>
      <c r="D23">
        <f>IF($C$6&gt;=$B23,INDEX(Index_B_Preço,MATCH($B23,Data_Lista,0)),"")</f>
        <v/>
      </c>
      <c r="E23">
        <f>IF($C$6&gt;=$B23,INDEX(Index_C_Preço,MATCH($B23,Data_Lista,0)),"")</f>
        <v/>
      </c>
      <c r="F23">
        <f>IF($C$6&gt;=$B23,INDEX(Index_A_Preço,MATCH($B23,Data_Lista,0)),"")</f>
        <v/>
      </c>
      <c r="G23">
        <f>IF($C$6&gt;=$B23,INDEX(Index_D_Preço,MATCH($B23,Data_Lista,0)),"")</f>
        <v/>
      </c>
      <c r="H23">
        <f>IF($C$6&gt;=$B23,INDEX(Index_TaxaCâmbio,MATCH($B23,Data_Lista,0)),"")</f>
        <v/>
      </c>
      <c r="K23" t="inlineStr">
        <is>
          <t>Preço USD</t>
        </is>
      </c>
      <c r="L23">
        <f>+L19+L21</f>
        <v/>
      </c>
      <c r="M23">
        <f>+M19+M21</f>
        <v/>
      </c>
      <c r="N23">
        <f>+N19+N21</f>
        <v/>
      </c>
      <c r="CM23">
        <f>ROUND(AVERAGE(CN23:CO23),2)</f>
        <v/>
      </c>
      <c r="CN23" t="n">
        <v>42</v>
      </c>
      <c r="CO23" t="n">
        <v>45</v>
      </c>
    </row>
    <row r="24">
      <c r="B24" t="inlineStr">
        <is>
          <t>Média semana N</t>
        </is>
      </c>
      <c r="C24">
        <f>IF(SUM(C19:C23)=0,0,AVERAGEIF(C19:C23,"&lt;&gt;0"))</f>
        <v/>
      </c>
      <c r="D24">
        <f>IF(SUM(D19:D23)=0,0,AVERAGEIF(D19:D23,"&lt;&gt;0"))</f>
        <v/>
      </c>
      <c r="E24">
        <f>IF(SUM(E19:E23)=0,0,AVERAGEIF(E19:E23,"&lt;&gt;0"))</f>
        <v/>
      </c>
      <c r="F24">
        <f>IF(SUM(F19:F23)=0,0,AVERAGEIF(F19:F23,"&lt;&gt;0"))</f>
        <v/>
      </c>
      <c r="G24">
        <f>IF(SUM(G19:G23)=0,0,AVERAGEIF(G19:G23,"&lt;&gt;0"))</f>
        <v/>
      </c>
      <c r="H24">
        <f>IF(SUM(H19:H23)=0,0,AVERAGEIF(H19:H23,"&lt;&gt;0"))</f>
        <v/>
      </c>
      <c r="U24" t="inlineStr">
        <is>
          <t>CARRO TANQUE (USD/TM DELIVERED)</t>
        </is>
      </c>
    </row>
    <row r="25">
      <c r="B25" t="inlineStr">
        <is>
          <t>Prémio</t>
        </is>
      </c>
      <c r="C25">
        <f>INDEX(Index_Z_Prémio,MATCH(Data_Output,Data_Lista,0))</f>
        <v/>
      </c>
      <c r="D25">
        <f>INDEX(Index_B_Prémio,MATCH(Data_Output,Data_Lista,0))</f>
        <v/>
      </c>
      <c r="E25">
        <f>INDEX(Index_C_Prémio,MATCH(Data_Output,Data_Lista,0))</f>
        <v/>
      </c>
      <c r="F25">
        <f>INDEX(Index_A_Prémio,MATCH(Data_Output,Data_Lista,0))</f>
        <v/>
      </c>
      <c r="G25">
        <f>INDEX(Index_D_Prémio,MATCH(Data_Output,Data_Lista,0))</f>
        <v/>
      </c>
      <c r="M25">
        <f>H29</f>
        <v/>
      </c>
    </row>
    <row r="26">
      <c r="B26" t="inlineStr">
        <is>
          <t>SLI's</t>
        </is>
      </c>
      <c r="C26">
        <f>INDEX(Index_Z_SLI,MATCH(Data_Output,Data_Lista,0))*$H$24</f>
        <v/>
      </c>
      <c r="D26">
        <f>INDEX(Index_B_SLI,MATCH(Data_Output,Data_Lista,0))*$H$24</f>
        <v/>
      </c>
      <c r="E26">
        <f>INDEX(Index_C_SLI,MATCH(Data_Output,Data_Lista,0))*$H$24</f>
        <v/>
      </c>
      <c r="F26">
        <f>INDEX(Index_A_SLI,MATCH(Data_Output,Data_Lista,0))*$H$24</f>
        <v/>
      </c>
      <c r="G26">
        <f>INDEX(Index_D_SLI,MATCH(Data_Output,Data_Lista,0))*$H$24</f>
        <v/>
      </c>
      <c r="U26" t="inlineStr">
        <is>
          <t>ABAST. A OCORRER ATÉ:</t>
        </is>
      </c>
    </row>
    <row r="27">
      <c r="B27" t="inlineStr">
        <is>
          <t>Tot. Enc.</t>
        </is>
      </c>
      <c r="C27">
        <f>+C26+C25</f>
        <v/>
      </c>
      <c r="D27">
        <f>+D26+D25</f>
        <v/>
      </c>
      <c r="E27">
        <f>+E26+E25</f>
        <v/>
      </c>
      <c r="F27">
        <f>+F26+F25</f>
        <v/>
      </c>
      <c r="G27">
        <f>+G26+G25</f>
        <v/>
      </c>
      <c r="U27" t="inlineStr">
        <is>
          <t>PORTO NORTE</t>
        </is>
      </c>
      <c r="W27">
        <f>$W$21+AJ14-10</f>
        <v/>
      </c>
      <c r="Z27">
        <f>$Z$21+AK14-$AK$31-10</f>
        <v/>
      </c>
    </row>
    <row r="28">
      <c r="L28">
        <f>+D29+D32</f>
        <v/>
      </c>
      <c r="M28">
        <f>+E29+E32</f>
        <v/>
      </c>
      <c r="N28">
        <f>+F29+F32</f>
        <v/>
      </c>
      <c r="U28" t="inlineStr">
        <is>
          <t>PORTO SUL</t>
        </is>
      </c>
      <c r="W28">
        <f>$W$21+AJ15-10</f>
        <v/>
      </c>
      <c r="Z28">
        <f>$Z$21+AK15-$AK$31-10</f>
        <v/>
      </c>
    </row>
    <row r="29">
      <c r="B29" t="inlineStr">
        <is>
          <t>Média semana N-1</t>
        </is>
      </c>
      <c r="C29">
        <f>IF(SUM(C14:C18)=0,0,AVERAGEIF(C14:C18,"&lt;&gt;0"))</f>
        <v/>
      </c>
      <c r="D29">
        <f>IF(SUM(D14:D18)=0,0,AVERAGEIF(D14:D18,"&lt;&gt;0"))</f>
        <v/>
      </c>
      <c r="E29">
        <f>IF(SUM(E14:E18)=0,0,AVERAGEIF(E14:E18,"&lt;&gt;0"))</f>
        <v/>
      </c>
      <c r="F29">
        <f>IF(SUM(F14:F18)=0,0,AVERAGEIF(F14:F18,"&lt;&gt;0"))</f>
        <v/>
      </c>
      <c r="G29">
        <f>IF(SUM(G14:G18)=0,0,AVERAGEIF(G14:G18,"&lt;&gt;0"))</f>
        <v/>
      </c>
      <c r="H29">
        <f>IF(SUM(H14:H18)=0,0,AVERAGEIF(H14:H18,"&lt;&gt;0"))</f>
        <v/>
      </c>
      <c r="L29">
        <f>INDEX(PreçosSpot_C_Margem,MATCH(Data_Output,Data_Lista,0))</f>
        <v/>
      </c>
      <c r="M29">
        <f>INDEX(PreçosSpot_C_Margem,MATCH(Data_Output,Data_Lista,0))</f>
        <v/>
      </c>
      <c r="N29">
        <f>INDEX(PreçosSpot_C_Margem,MATCH(Data_Output,Data_Lista,0))</f>
        <v/>
      </c>
    </row>
    <row r="30">
      <c r="C30">
        <f>INDEX(Index_Z_Prémio,MATCH(Data_Output,Data_Lista,0))</f>
        <v/>
      </c>
      <c r="D30">
        <f>INDEX(Index_B_Prémio,MATCH(Data_Output,Data_Lista,0))</f>
        <v/>
      </c>
      <c r="E30">
        <f>INDEX(Index_C_Prémio,MATCH(Data_Output,Data_Lista,0))</f>
        <v/>
      </c>
      <c r="F30">
        <f>INDEX(Index_A_Prémio,MATCH(Data_Output,Data_Lista,0))</f>
        <v/>
      </c>
      <c r="G30">
        <f>INDEX(Index_D_Prémio,MATCH(Data_Output,Data_Lista,0))</f>
        <v/>
      </c>
      <c r="L30">
        <f>L29*$M$25</f>
        <v/>
      </c>
      <c r="M30">
        <f>M29*$M$25</f>
        <v/>
      </c>
      <c r="N30">
        <f>N29*$M$25</f>
        <v/>
      </c>
      <c r="AJ30" t="inlineStr">
        <is>
          <t>Desconto CT</t>
        </is>
      </c>
      <c r="AK30" t="inlineStr">
        <is>
          <t>MGO</t>
        </is>
      </c>
    </row>
    <row r="31">
      <c r="C31">
        <f>INDEX(Index_Z_SLI,MATCH(Data_Output,Data_Lista,0))*$H$29</f>
        <v/>
      </c>
      <c r="D31">
        <f>INDEX(Index_B_SLI,MATCH(Data_Output,Data_Lista,0))*$H$29</f>
        <v/>
      </c>
      <c r="E31">
        <f>INDEX(Index_C_SLI,MATCH(Data_Output,Data_Lista,0))*$H$29</f>
        <v/>
      </c>
      <c r="F31">
        <f>INDEX(Index_A_SLI,MATCH(Data_Output,Data_Lista,0))*$H$29</f>
        <v/>
      </c>
      <c r="G31">
        <f>INDEX(Index_D_SLI,MATCH(Data_Output,Data_Lista,0))*$H$29</f>
        <v/>
      </c>
      <c r="AK31" t="n">
        <v>5</v>
      </c>
    </row>
    <row r="32">
      <c r="C32">
        <f>+C31+C30</f>
        <v/>
      </c>
      <c r="D32">
        <f>+D31+D30</f>
        <v/>
      </c>
      <c r="E32">
        <f>+E31+E30</f>
        <v/>
      </c>
      <c r="F32">
        <f>+F31+F30</f>
        <v/>
      </c>
      <c r="G32">
        <f>+G31+G30</f>
        <v/>
      </c>
      <c r="L32">
        <f>L28+L30</f>
        <v/>
      </c>
      <c r="M32">
        <f>M28+M30</f>
        <v/>
      </c>
      <c r="N32">
        <f>N28+N30</f>
        <v/>
      </c>
    </row>
    <row r="36">
      <c r="C36" t="inlineStr">
        <is>
          <t>CARGA — TABELA DE PREÇOS</t>
        </is>
      </c>
    </row>
    <row r="37">
      <c r="C37" t="inlineStr">
        <is>
          <t>PRODUTO A</t>
        </is>
      </c>
      <c r="D37">
        <f>D38+15.5</f>
        <v/>
      </c>
    </row>
    <row r="38">
      <c r="C38" t="inlineStr">
        <is>
          <t>PRODUTO B</t>
        </is>
      </c>
      <c r="D38">
        <f>MIN(F24,F29)</f>
        <v/>
      </c>
      <c r="E38">
        <f>D38/AC14</f>
        <v/>
      </c>
    </row>
    <row r="39">
      <c r="C39" t="inlineStr">
        <is>
          <t>PRODUTO C</t>
        </is>
      </c>
      <c r="D39">
        <f>MIN(E24,E29)</f>
        <v/>
      </c>
      <c r="E39">
        <f>D39/AC14</f>
        <v/>
      </c>
    </row>
    <row r="40">
      <c r="C40" t="inlineStr">
        <is>
          <t>PRODUTO D</t>
        </is>
      </c>
      <c r="D40">
        <f>MIN(D24,D29)</f>
        <v/>
      </c>
    </row>
    <row r="41">
      <c r="C41" t="inlineStr">
        <is>
          <t>BLEND B10</t>
        </is>
      </c>
      <c r="D41">
        <f>'Outputs BIOS'!D10</f>
        <v/>
      </c>
    </row>
    <row r="42">
      <c r="C42" t="inlineStr">
        <is>
          <t>BLEND B20</t>
        </is>
      </c>
      <c r="D42">
        <f>'Outputs BIOS'!D11</f>
        <v/>
      </c>
    </row>
    <row r="61">
      <c r="U61" t="inlineStr">
        <is>
          <t>Prémio de referência</t>
        </is>
      </c>
      <c r="W61">
        <f>INDEX(PreçosSpot_C_PrémioRef,MATCH(Data_Output,Data_Lista,0))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6:CO61"/>
  <sheetViews>
    <sheetView workbookViewId="0">
      <selection activeCell="A1" sqref="A1"/>
    </sheetView>
  </sheetViews>
  <sheetFormatPr baseColWidth="8" defaultRowHeight="15"/>
  <sheetData>
    <row r="6">
      <c r="B6" t="inlineStr">
        <is>
          <t>Data Output</t>
        </is>
      </c>
      <c r="C6">
        <f>IF(Data_Manual="",TODAY(),Data_Manual)</f>
        <v/>
      </c>
    </row>
    <row r="7">
      <c r="B7" t="inlineStr">
        <is>
          <t>Data Manual</t>
        </is>
      </c>
      <c r="C7" s="1" t="n">
        <v>46244</v>
      </c>
    </row>
    <row r="13">
      <c r="B13" t="inlineStr">
        <is>
          <t>Data</t>
        </is>
      </c>
      <c r="C13" t="inlineStr">
        <is>
          <t>Indexante Z</t>
        </is>
      </c>
      <c r="D13" t="inlineStr">
        <is>
          <t>Indexante B</t>
        </is>
      </c>
      <c r="E13" t="inlineStr">
        <is>
          <t>Indexante C</t>
        </is>
      </c>
      <c r="F13" t="inlineStr">
        <is>
          <t>Indexante A</t>
        </is>
      </c>
      <c r="G13" t="inlineStr">
        <is>
          <t>Indexante D</t>
        </is>
      </c>
      <c r="H13" t="inlineStr">
        <is>
          <t>Câmbio</t>
        </is>
      </c>
      <c r="W13" t="inlineStr">
        <is>
          <t>Produto C</t>
        </is>
      </c>
      <c r="X13" t="inlineStr">
        <is>
          <t>Produto B</t>
        </is>
      </c>
      <c r="Z13" t="inlineStr">
        <is>
          <t>Produto A</t>
        </is>
      </c>
      <c r="AC13" t="inlineStr">
        <is>
          <t>EUR / USD</t>
        </is>
      </c>
      <c r="AF13" t="inlineStr">
        <is>
          <t>MOEDA</t>
        </is>
      </c>
      <c r="AG13" t="inlineStr">
        <is>
          <t>UNIDADE</t>
        </is>
      </c>
      <c r="AJ13" t="inlineStr">
        <is>
          <t>FUEL</t>
        </is>
      </c>
      <c r="AK13" t="inlineStr">
        <is>
          <t>MGO</t>
        </is>
      </c>
    </row>
    <row r="14">
      <c r="B14" s="1">
        <f>B15-1</f>
        <v/>
      </c>
      <c r="C14">
        <f>IF($C$6&gt;=$B14,INDEX(Index_Z_Preço,MATCH($B14,Data_Lista,0)),"")</f>
        <v/>
      </c>
      <c r="D14">
        <f>IF($C$6&gt;=$B14,INDEX(Index_B_Preço,MATCH($B14,Data_Lista,0)),"")</f>
        <v/>
      </c>
      <c r="E14">
        <f>IF($C$6&gt;=$B14,INDEX(Index_C_Preço,MATCH($B14,Data_Lista,0)),"")</f>
        <v/>
      </c>
      <c r="F14">
        <f>IF($C$6&gt;=$B14,INDEX(Index_A_Preço,MATCH($B14,Data_Lista,0)),"")</f>
        <v/>
      </c>
      <c r="G14">
        <f>IF($C$6&gt;=$B14,INDEX(Index_D_Preço,MATCH($B14,Data_Lista,0)),"")</f>
        <v/>
      </c>
      <c r="H14">
        <f>IF($C$6&gt;=$B14,INDEX(Index_TaxaCâmbio,MATCH($B14,Data_Lista,0)),"")</f>
        <v/>
      </c>
      <c r="M14">
        <f>H24</f>
        <v/>
      </c>
      <c r="U14" t="inlineStr">
        <is>
          <t>PREÇO DE REFERÊNCIA USD/TM</t>
        </is>
      </c>
      <c r="W14">
        <f>IF($AG$14="M3",IF($AF$14="EUR",(MAX(M23,M32)+W61)/$AC$14,MAX(M23,M32)+W61)*0.953,IF($AF$14="EUR",(MAX(M23,M32)+W61)/$AC$14,MAX(M23,M32)+W61))+10</f>
        <v/>
      </c>
      <c r="X14">
        <f>IF($AG$14="M3",IF($AF$14="EUR",(MAX(L23,L32)+W61)/$AC$14,MAX(L23,L32)+W61)*0.989,IF($AF$14="EUR",(MAX(L23,L32)+W61)/$AC$14,MAX(L23,L32)+W61))+10</f>
        <v/>
      </c>
      <c r="Z14">
        <f>IF($AG$14="M3",IF($AF$14="EUR",(MAX(N23,N32)+W61)/$AC$14,MAX(N23,N32)+W61)*0.855,IF($AF$14="EUR",(MAX(N23,N32)+W61)/$AC$14,MAX(N23,N32)+W61))+10</f>
        <v/>
      </c>
      <c r="AC14">
        <f>INDEX(Index_TaxaCâmbio,MATCH(Data_Output-3,Data_Lista,0))</f>
        <v/>
      </c>
      <c r="AF14" t="inlineStr">
        <is>
          <t>USD</t>
        </is>
      </c>
      <c r="AG14" t="inlineStr">
        <is>
          <t>TM</t>
        </is>
      </c>
      <c r="AI14" t="inlineStr">
        <is>
          <t>PortoNorte</t>
        </is>
      </c>
      <c r="AJ14">
        <f>INDEX(INDIRECT("CustosLogísticos_"&amp;AJ$13&amp;"_"&amp;$AI14),MATCH(Data_Output,Data_Lista,0))</f>
        <v/>
      </c>
      <c r="AK14">
        <f>INDEX(INDIRECT("CustosLogísticos_"&amp;AK$13&amp;"_"&amp;$AI14),MATCH(Data_Output,Data_Lista,0))</f>
        <v/>
      </c>
    </row>
    <row r="15">
      <c r="B15" s="1">
        <f>B16-1</f>
        <v/>
      </c>
      <c r="C15">
        <f>IF($C$6&gt;=$B15,INDEX(Index_Z_Preço,MATCH($B15,Data_Lista,0)),"")</f>
        <v/>
      </c>
      <c r="D15">
        <f>IF($C$6&gt;=$B15,INDEX(Index_B_Preço,MATCH($B15,Data_Lista,0)),"")</f>
        <v/>
      </c>
      <c r="E15">
        <f>IF($C$6&gt;=$B15,INDEX(Index_C_Preço,MATCH($B15,Data_Lista,0)),"")</f>
        <v/>
      </c>
      <c r="F15">
        <f>IF($C$6&gt;=$B15,INDEX(Index_A_Preço,MATCH($B15,Data_Lista,0)),"")</f>
        <v/>
      </c>
      <c r="G15">
        <f>IF($C$6&gt;=$B15,INDEX(Index_D_Preço,MATCH($B15,Data_Lista,0)),"")</f>
        <v/>
      </c>
      <c r="H15">
        <f>IF($C$6&gt;=$B15,INDEX(Index_TaxaCâmbio,MATCH($B15,Data_Lista,0)),"")</f>
        <v/>
      </c>
      <c r="AI15" t="inlineStr">
        <is>
          <t>PortoSul</t>
        </is>
      </c>
      <c r="AJ15">
        <f>INDEX(INDIRECT("CustosLogísticos_"&amp;AJ$13&amp;"_"&amp;$AI15),MATCH(Data_Output,Data_Lista,0))</f>
        <v/>
      </c>
      <c r="AK15">
        <f>INDEX(INDIRECT("CustosLogísticos_"&amp;AK$13&amp;"_"&amp;$AI15),MATCH(Data_Output,Data_Lista,0))</f>
        <v/>
      </c>
    </row>
    <row r="16">
      <c r="B16" s="1">
        <f>B17-1</f>
        <v/>
      </c>
      <c r="C16">
        <f>IF($C$6&gt;=$B16,INDEX(Index_Z_Preço,MATCH($B16,Data_Lista,0)),"")</f>
        <v/>
      </c>
      <c r="D16">
        <f>IF($C$6&gt;=$B16,INDEX(Index_B_Preço,MATCH($B16,Data_Lista,0)),"")</f>
        <v/>
      </c>
      <c r="E16">
        <f>IF($C$6&gt;=$B16,INDEX(Index_C_Preço,MATCH($B16,Data_Lista,0)),"")</f>
        <v/>
      </c>
      <c r="F16">
        <f>IF($C$6&gt;=$B16,INDEX(Index_A_Preço,MATCH($B16,Data_Lista,0)),"")</f>
        <v/>
      </c>
      <c r="G16">
        <f>IF($C$6&gt;=$B16,INDEX(Index_D_Preço,MATCH($B16,Data_Lista,0)),"")</f>
        <v/>
      </c>
      <c r="H16">
        <f>IF($C$6&gt;=$B16,INDEX(Index_TaxaCâmbio,MATCH($B16,Data_Lista,0)),"")</f>
        <v/>
      </c>
    </row>
    <row r="17">
      <c r="B17" s="1">
        <f>B18-1</f>
        <v/>
      </c>
      <c r="C17">
        <f>IF($C$6&gt;=$B17,INDEX(Index_Z_Preço,MATCH($B17,Data_Lista,0)),"")</f>
        <v/>
      </c>
      <c r="D17">
        <f>IF($C$6&gt;=$B17,INDEX(Index_B_Preço,MATCH($B17,Data_Lista,0)),"")</f>
        <v/>
      </c>
      <c r="E17">
        <f>IF($C$6&gt;=$B17,INDEX(Index_C_Preço,MATCH($B17,Data_Lista,0)),"")</f>
        <v/>
      </c>
      <c r="F17">
        <f>IF($C$6&gt;=$B17,INDEX(Index_A_Preço,MATCH($B17,Data_Lista,0)),"")</f>
        <v/>
      </c>
      <c r="G17">
        <f>IF($C$6&gt;=$B17,INDEX(Index_D_Preço,MATCH($B17,Data_Lista,0)),"")</f>
        <v/>
      </c>
      <c r="H17">
        <f>IF($C$6&gt;=$B17,INDEX(Index_TaxaCâmbio,MATCH($B17,Data_Lista,0)),"")</f>
        <v/>
      </c>
      <c r="U17" t="inlineStr">
        <is>
          <t>ABAST. A OCORRER ATÉ:</t>
        </is>
      </c>
      <c r="W17">
        <f>MAX(M23,M32)-M32</f>
        <v/>
      </c>
      <c r="X17">
        <f>MAX(L23,L32)-L32</f>
        <v/>
      </c>
      <c r="Z17">
        <f>MAX(N23,N32)-N32</f>
        <v/>
      </c>
    </row>
    <row r="18">
      <c r="B18" s="1">
        <f>B19-3</f>
        <v/>
      </c>
      <c r="C18">
        <f>IF($C$6&gt;=$B18,INDEX(Index_Z_Preço,MATCH($B18,Data_Lista,0)),"")</f>
        <v/>
      </c>
      <c r="D18">
        <f>IF($C$6&gt;=$B18,INDEX(Index_B_Preço,MATCH($B18,Data_Lista,0)),"")</f>
        <v/>
      </c>
      <c r="E18">
        <f>IF($C$6&gt;=$B18,INDEX(Index_C_Preço,MATCH($B18,Data_Lista,0)),"")</f>
        <v/>
      </c>
      <c r="F18">
        <f>IF($C$6&gt;=$B18,INDEX(Index_A_Preço,MATCH($B18,Data_Lista,0)),"")</f>
        <v/>
      </c>
      <c r="G18">
        <f>IF($C$6&gt;=$B18,INDEX(Index_D_Preço,MATCH($B18,Data_Lista,0)),"")</f>
        <v/>
      </c>
      <c r="H18">
        <f>IF($C$6&gt;=$B18,INDEX(Index_TaxaCâmbio,MATCH($B18,Data_Lista,0)),"")</f>
        <v/>
      </c>
      <c r="U18" t="inlineStr">
        <is>
          <t>ABAST. A OCORRER APÓS:</t>
        </is>
      </c>
      <c r="W18">
        <f>MAX(M23,M32)-M23</f>
        <v/>
      </c>
      <c r="X18">
        <f>MAX(L23,L32)-L23</f>
        <v/>
      </c>
      <c r="Z18">
        <f>MAX(N23,N32)-N23</f>
        <v/>
      </c>
    </row>
    <row r="19">
      <c r="B19" s="1">
        <f>IF(WEEKDAY(Data_Output,2)=1,Data_Output,Data_Output-WEEKDAY(Data_Output,2)+1)</f>
        <v/>
      </c>
      <c r="C19">
        <f>IF($C$6&gt;=$B19,INDEX(Index_Z_Preço,MATCH($B19,Data_Lista,0)),"")</f>
        <v/>
      </c>
      <c r="D19">
        <f>IF($C$6&gt;=$B19,INDEX(Index_B_Preço,MATCH($B19,Data_Lista,0)),"")</f>
        <v/>
      </c>
      <c r="E19">
        <f>IF($C$6&gt;=$B19,INDEX(Index_C_Preço,MATCH($B19,Data_Lista,0)),"")</f>
        <v/>
      </c>
      <c r="F19">
        <f>IF($C$6&gt;=$B19,INDEX(Index_A_Preço,MATCH($B19,Data_Lista,0)),"")</f>
        <v/>
      </c>
      <c r="G19">
        <f>IF($C$6&gt;=$B19,INDEX(Index_D_Preço,MATCH($B19,Data_Lista,0)),"")</f>
        <v/>
      </c>
      <c r="H19">
        <f>IF($C$6&gt;=$B19,INDEX(Index_TaxaCâmbio,MATCH($B19,Data_Lista,0)),"")</f>
        <v/>
      </c>
      <c r="K19" t="inlineStr">
        <is>
          <t>Cedência USD</t>
        </is>
      </c>
      <c r="L19">
        <f>+D24+D27</f>
        <v/>
      </c>
      <c r="M19">
        <f>+E24+E27</f>
        <v/>
      </c>
      <c r="N19">
        <f>+F24+F27</f>
        <v/>
      </c>
      <c r="U19" t="inlineStr">
        <is>
          <t>ADICIONAL</t>
        </is>
      </c>
      <c r="W19">
        <f>INDEX(PreçosSpot_C_DescontoAdicional,MATCH(Data_Output,Data_Lista,0))</f>
        <v/>
      </c>
      <c r="X19">
        <f>INDEX(PreçosSpot_C_DescontoAdicional,MATCH(Data_Output,Data_Lista,0))</f>
        <v/>
      </c>
      <c r="Z19">
        <f>INDEX(PreçosSpot_C_DescontoAdicional,MATCH(Data_Output,Data_Lista,0))</f>
        <v/>
      </c>
    </row>
    <row r="20">
      <c r="B20" s="1">
        <f>B19+1</f>
        <v/>
      </c>
      <c r="C20">
        <f>IF($C$6&gt;=$B20,INDEX(Index_Z_Preço,MATCH($B20,Data_Lista,0)),"")</f>
        <v/>
      </c>
      <c r="D20">
        <f>IF($C$6&gt;=$B20,INDEX(Index_B_Preço,MATCH($B20,Data_Lista,0)),"")</f>
        <v/>
      </c>
      <c r="E20">
        <f>IF($C$6&gt;=$B20,INDEX(Index_C_Preço,MATCH($B20,Data_Lista,0)),"")</f>
        <v/>
      </c>
      <c r="F20">
        <f>IF($C$6&gt;=$B20,INDEX(Index_A_Preço,MATCH($B20,Data_Lista,0)),"")</f>
        <v/>
      </c>
      <c r="G20">
        <f>IF($C$6&gt;=$B20,INDEX(Index_D_Preço,MATCH($B20,Data_Lista,0)),"")</f>
        <v/>
      </c>
      <c r="H20">
        <f>IF($C$6&gt;=$B20,INDEX(Index_TaxaCâmbio,MATCH($B20,Data_Lista,0)),"")</f>
        <v/>
      </c>
      <c r="K20" t="inlineStr">
        <is>
          <t>Margem alvo EUR</t>
        </is>
      </c>
      <c r="L20">
        <f>INDEX(PreçosSpot_C_Margem,MATCH(Data_Output,Data_Lista,0))</f>
        <v/>
      </c>
      <c r="M20">
        <f>INDEX(PreçosSpot_C_Margem,MATCH(Data_Output,Data_Lista,0))</f>
        <v/>
      </c>
      <c r="N20">
        <f>INDEX(PreçosSpot_C_Margem,MATCH(Data_Output,Data_Lista,0))</f>
        <v/>
      </c>
    </row>
    <row r="21">
      <c r="B21" s="1">
        <f>B20+1</f>
        <v/>
      </c>
      <c r="C21">
        <f>IF($C$6&gt;=$B21,INDEX(Index_Z_Preço,MATCH($B21,Data_Lista,0)),"")</f>
        <v/>
      </c>
      <c r="D21">
        <f>IF($C$6&gt;=$B21,INDEX(Index_B_Preço,MATCH($B21,Data_Lista,0)),"")</f>
        <v/>
      </c>
      <c r="E21">
        <f>IF($C$6&gt;=$B21,INDEX(Index_C_Preço,MATCH($B21,Data_Lista,0)),"")</f>
        <v/>
      </c>
      <c r="F21">
        <f>IF($C$6&gt;=$B21,INDEX(Index_A_Preço,MATCH($B21,Data_Lista,0)),"")</f>
        <v/>
      </c>
      <c r="G21">
        <f>IF($C$6&gt;=$B21,INDEX(Index_D_Preço,MATCH($B21,Data_Lista,0)),"")</f>
        <v/>
      </c>
      <c r="H21">
        <f>IF($C$6&gt;=$B21,INDEX(Index_TaxaCâmbio,MATCH($B21,Data_Lista,0)),"")</f>
        <v/>
      </c>
      <c r="K21" t="inlineStr">
        <is>
          <t>Margem USD</t>
        </is>
      </c>
      <c r="L21">
        <f>L20*$M$14</f>
        <v/>
      </c>
      <c r="M21">
        <f>M20*$M$14</f>
        <v/>
      </c>
      <c r="N21">
        <f>N20*$M$14</f>
        <v/>
      </c>
      <c r="U21" t="inlineStr">
        <is>
          <t>PREÇO MÍNIMO ATÉ:</t>
        </is>
      </c>
      <c r="W21">
        <f>+W14-W17-W19</f>
        <v/>
      </c>
      <c r="X21">
        <f>+X14-X17-X19</f>
        <v/>
      </c>
      <c r="Z21">
        <f>+Z14-Z17-Z19</f>
        <v/>
      </c>
      <c r="CL21" t="inlineStr">
        <is>
          <t>CLIENTE A — prémio por porto EUR/MT</t>
        </is>
      </c>
    </row>
    <row r="22">
      <c r="B22" s="1">
        <f>B21+1</f>
        <v/>
      </c>
      <c r="C22">
        <f>IF($C$6&gt;=$B22,INDEX(Index_Z_Preço,MATCH($B22,Data_Lista,0)),"")</f>
        <v/>
      </c>
      <c r="D22">
        <f>IF($C$6&gt;=$B22,INDEX(Index_B_Preço,MATCH($B22,Data_Lista,0)),"")</f>
        <v/>
      </c>
      <c r="E22">
        <f>IF($C$6&gt;=$B22,INDEX(Index_C_Preço,MATCH($B22,Data_Lista,0)),"")</f>
        <v/>
      </c>
      <c r="F22">
        <f>IF($C$6&gt;=$B22,INDEX(Index_A_Preço,MATCH($B22,Data_Lista,0)),"")</f>
        <v/>
      </c>
      <c r="G22">
        <f>IF($C$6&gt;=$B22,INDEX(Index_D_Preço,MATCH($B22,Data_Lista,0)),"")</f>
        <v/>
      </c>
      <c r="H22">
        <f>IF($C$6&gt;=$B22,INDEX(Index_TaxaCâmbio,MATCH($B22,Data_Lista,0)),"")</f>
        <v/>
      </c>
      <c r="U22" t="inlineStr">
        <is>
          <t>PREÇO MÍNIMO APÓS:</t>
        </is>
      </c>
      <c r="W22">
        <f>+W14-W18-W19</f>
        <v/>
      </c>
      <c r="X22">
        <f>+X14-X18-X19</f>
        <v/>
      </c>
      <c r="Z22">
        <f>+Z14-Z18-Z19</f>
        <v/>
      </c>
      <c r="CN22" t="inlineStr">
        <is>
          <t>Porto Norte</t>
        </is>
      </c>
      <c r="CO22" t="inlineStr">
        <is>
          <t>Porto Sul</t>
        </is>
      </c>
    </row>
    <row r="23">
      <c r="B23" s="1">
        <f>B22+1</f>
        <v/>
      </c>
      <c r="C23">
        <f>IF($C$6&gt;=$B23,INDEX(Index_Z_Preço,MATCH($B23,Data_Lista,0)),"")</f>
        <v/>
      </c>
      <c r="D23">
        <f>IF($C$6&gt;=$B23,INDEX(Index_B_Preço,MATCH($B23,Data_Lista,0)),"")</f>
        <v/>
      </c>
      <c r="E23">
        <f>IF($C$6&gt;=$B23,INDEX(Index_C_Preço,MATCH($B23,Data_Lista,0)),"")</f>
        <v/>
      </c>
      <c r="F23">
        <f>IF($C$6&gt;=$B23,INDEX(Index_A_Preço,MATCH($B23,Data_Lista,0)),"")</f>
        <v/>
      </c>
      <c r="G23">
        <f>IF($C$6&gt;=$B23,INDEX(Index_D_Preço,MATCH($B23,Data_Lista,0)),"")</f>
        <v/>
      </c>
      <c r="H23">
        <f>IF($C$6&gt;=$B23,INDEX(Index_TaxaCâmbio,MATCH($B23,Data_Lista,0)),"")</f>
        <v/>
      </c>
      <c r="K23" t="inlineStr">
        <is>
          <t>Preço USD</t>
        </is>
      </c>
      <c r="L23">
        <f>+L19+L21</f>
        <v/>
      </c>
      <c r="M23">
        <f>+M19+M21</f>
        <v/>
      </c>
      <c r="N23">
        <f>+N19+N21</f>
        <v/>
      </c>
      <c r="CM23">
        <f>ROUND(AVERAGE(CN23:CO23),2)</f>
        <v/>
      </c>
      <c r="CN23" t="n">
        <v>37</v>
      </c>
      <c r="CO23" t="n">
        <v>40</v>
      </c>
    </row>
    <row r="24">
      <c r="B24" t="inlineStr">
        <is>
          <t>Média semana N</t>
        </is>
      </c>
      <c r="C24">
        <f>IF(SUM(C19:C23)=0,0,AVERAGEIF(C19:C23,"&lt;&gt;0"))</f>
        <v/>
      </c>
      <c r="D24">
        <f>IF(SUM(D19:D23)=0,0,AVERAGEIF(D19:D23,"&lt;&gt;0"))</f>
        <v/>
      </c>
      <c r="E24">
        <f>IF(SUM(E19:E23)=0,0,AVERAGEIF(E19:E23,"&lt;&gt;0"))</f>
        <v/>
      </c>
      <c r="F24">
        <f>IF(SUM(F19:F23)=0,0,AVERAGEIF(F19:F23,"&lt;&gt;0"))</f>
        <v/>
      </c>
      <c r="G24">
        <f>IF(SUM(G19:G23)=0,0,AVERAGEIF(G19:G23,"&lt;&gt;0"))</f>
        <v/>
      </c>
      <c r="H24">
        <f>IF(SUM(H19:H23)=0,0,AVERAGEIF(H19:H23,"&lt;&gt;0"))</f>
        <v/>
      </c>
      <c r="U24" t="inlineStr">
        <is>
          <t>CARRO TANQUE (USD/TM DELIVERED)</t>
        </is>
      </c>
    </row>
    <row r="25">
      <c r="B25" t="inlineStr">
        <is>
          <t>Prémio</t>
        </is>
      </c>
      <c r="C25">
        <f>INDEX(Index_Z_Prémio,MATCH(Data_Output,Data_Lista,0))</f>
        <v/>
      </c>
      <c r="D25">
        <f>INDEX(Index_B_Prémio,MATCH(Data_Output,Data_Lista,0))</f>
        <v/>
      </c>
      <c r="E25">
        <f>INDEX(Index_C_Prémio,MATCH(Data_Output,Data_Lista,0))</f>
        <v/>
      </c>
      <c r="F25">
        <f>INDEX(Index_A_Prémio,MATCH(Data_Output,Data_Lista,0))</f>
        <v/>
      </c>
      <c r="G25">
        <f>INDEX(Index_D_Prémio,MATCH(Data_Output,Data_Lista,0))</f>
        <v/>
      </c>
      <c r="M25">
        <f>H29</f>
        <v/>
      </c>
    </row>
    <row r="26">
      <c r="B26" t="inlineStr">
        <is>
          <t>SLI's</t>
        </is>
      </c>
      <c r="C26">
        <f>INDEX(Index_Z_SLI,MATCH(Data_Output,Data_Lista,0))*$H$24</f>
        <v/>
      </c>
      <c r="D26">
        <f>INDEX(Index_B_SLI,MATCH(Data_Output,Data_Lista,0))*$H$24</f>
        <v/>
      </c>
      <c r="E26">
        <f>INDEX(Index_C_SLI,MATCH(Data_Output,Data_Lista,0))*$H$24</f>
        <v/>
      </c>
      <c r="F26">
        <f>INDEX(Index_A_SLI,MATCH(Data_Output,Data_Lista,0))*$H$24</f>
        <v/>
      </c>
      <c r="G26">
        <f>INDEX(Index_D_SLI,MATCH(Data_Output,Data_Lista,0))*$H$24</f>
        <v/>
      </c>
      <c r="U26" t="inlineStr">
        <is>
          <t>ABAST. A OCORRER ATÉ:</t>
        </is>
      </c>
    </row>
    <row r="27">
      <c r="B27" t="inlineStr">
        <is>
          <t>Tot. Enc.</t>
        </is>
      </c>
      <c r="C27">
        <f>+C26+C25</f>
        <v/>
      </c>
      <c r="D27">
        <f>+D26+D25</f>
        <v/>
      </c>
      <c r="E27">
        <f>+E26+E25</f>
        <v/>
      </c>
      <c r="F27">
        <f>+F26+F25</f>
        <v/>
      </c>
      <c r="G27">
        <f>+G26+G25</f>
        <v/>
      </c>
      <c r="U27" t="inlineStr">
        <is>
          <t>PORTO NORTE</t>
        </is>
      </c>
      <c r="W27">
        <f>$W$21+AJ14</f>
        <v/>
      </c>
      <c r="Z27">
        <f>$Z$21+AK14-$AK$31</f>
        <v/>
      </c>
    </row>
    <row r="28">
      <c r="L28">
        <f>+D29+D32</f>
        <v/>
      </c>
      <c r="M28">
        <f>+E29+E32</f>
        <v/>
      </c>
      <c r="N28">
        <f>+F29+F32</f>
        <v/>
      </c>
      <c r="U28" t="inlineStr">
        <is>
          <t>PORTO SUL</t>
        </is>
      </c>
      <c r="W28">
        <f>$W$21+AJ15</f>
        <v/>
      </c>
      <c r="Z28">
        <f>$Z$21+AK15-$AK$31</f>
        <v/>
      </c>
    </row>
    <row r="29">
      <c r="B29" t="inlineStr">
        <is>
          <t>Média semana N-1</t>
        </is>
      </c>
      <c r="C29">
        <f>IF(SUM(C14:C18)=0,0,AVERAGEIF(C14:C18,"&lt;&gt;0"))</f>
        <v/>
      </c>
      <c r="D29">
        <f>IF(SUM(D14:D18)=0,0,AVERAGEIF(D14:D18,"&lt;&gt;0"))</f>
        <v/>
      </c>
      <c r="E29">
        <f>IF(SUM(E14:E18)=0,0,AVERAGEIF(E14:E18,"&lt;&gt;0"))</f>
        <v/>
      </c>
      <c r="F29">
        <f>IF(SUM(F14:F18)=0,0,AVERAGEIF(F14:F18,"&lt;&gt;0"))</f>
        <v/>
      </c>
      <c r="G29">
        <f>IF(SUM(G14:G18)=0,0,AVERAGEIF(G14:G18,"&lt;&gt;0"))</f>
        <v/>
      </c>
      <c r="H29">
        <f>IF(SUM(H14:H18)=0,0,AVERAGEIF(H14:H18,"&lt;&gt;0"))</f>
        <v/>
      </c>
      <c r="L29">
        <f>INDEX(PreçosSpot_C_Margem,MATCH(Data_Output,Data_Lista,0))</f>
        <v/>
      </c>
      <c r="M29">
        <f>INDEX(PreçosSpot_C_Margem,MATCH(Data_Output,Data_Lista,0))</f>
        <v/>
      </c>
      <c r="N29">
        <f>INDEX(PreçosSpot_C_Margem,MATCH(Data_Output,Data_Lista,0))</f>
        <v/>
      </c>
    </row>
    <row r="30">
      <c r="C30">
        <f>INDEX(Index_Z_Prémio,MATCH(Data_Output,Data_Lista,0))</f>
        <v/>
      </c>
      <c r="D30">
        <f>INDEX(Index_B_Prémio,MATCH(Data_Output,Data_Lista,0))</f>
        <v/>
      </c>
      <c r="E30">
        <f>INDEX(Index_C_Prémio,MATCH(Data_Output,Data_Lista,0))</f>
        <v/>
      </c>
      <c r="F30">
        <f>INDEX(Index_A_Prémio,MATCH(Data_Output,Data_Lista,0))</f>
        <v/>
      </c>
      <c r="G30">
        <f>INDEX(Index_D_Prémio,MATCH(Data_Output,Data_Lista,0))</f>
        <v/>
      </c>
      <c r="L30">
        <f>L29*$M$25</f>
        <v/>
      </c>
      <c r="M30">
        <f>M29*$M$25</f>
        <v/>
      </c>
      <c r="N30">
        <f>N29*$M$25</f>
        <v/>
      </c>
      <c r="AJ30" t="inlineStr">
        <is>
          <t>Desconto CT</t>
        </is>
      </c>
      <c r="AK30" t="inlineStr">
        <is>
          <t>MGO</t>
        </is>
      </c>
    </row>
    <row r="31">
      <c r="C31">
        <f>INDEX(Index_Z_SLI,MATCH(Data_Output,Data_Lista,0))*$H$29</f>
        <v/>
      </c>
      <c r="D31">
        <f>INDEX(Index_B_SLI,MATCH(Data_Output,Data_Lista,0))*$H$29</f>
        <v/>
      </c>
      <c r="E31">
        <f>INDEX(Index_C_SLI,MATCH(Data_Output,Data_Lista,0))*$H$29</f>
        <v/>
      </c>
      <c r="F31">
        <f>INDEX(Index_A_SLI,MATCH(Data_Output,Data_Lista,0))*$H$29</f>
        <v/>
      </c>
      <c r="G31">
        <f>INDEX(Index_D_SLI,MATCH(Data_Output,Data_Lista,0))*$H$29</f>
        <v/>
      </c>
      <c r="AK31" t="n">
        <v>5</v>
      </c>
    </row>
    <row r="32">
      <c r="C32">
        <f>+C31+C30</f>
        <v/>
      </c>
      <c r="D32">
        <f>+D31+D30</f>
        <v/>
      </c>
      <c r="E32">
        <f>+E31+E30</f>
        <v/>
      </c>
      <c r="F32">
        <f>+F31+F30</f>
        <v/>
      </c>
      <c r="G32">
        <f>+G31+G30</f>
        <v/>
      </c>
      <c r="L32">
        <f>L28+L30</f>
        <v/>
      </c>
      <c r="M32">
        <f>M28+M30</f>
        <v/>
      </c>
      <c r="N32">
        <f>N28+N30</f>
        <v/>
      </c>
    </row>
    <row r="36">
      <c r="C36" t="inlineStr">
        <is>
          <t>CARGA — TABELA DE PREÇOS</t>
        </is>
      </c>
    </row>
    <row r="37">
      <c r="C37" t="inlineStr">
        <is>
          <t>PRODUTO A</t>
        </is>
      </c>
      <c r="D37">
        <f>D38+15.5</f>
        <v/>
      </c>
    </row>
    <row r="38">
      <c r="C38" t="inlineStr">
        <is>
          <t>PRODUTO B</t>
        </is>
      </c>
      <c r="D38">
        <f>MIN(F24,F29)</f>
        <v/>
      </c>
      <c r="E38">
        <f>D38/AC14</f>
        <v/>
      </c>
    </row>
    <row r="39">
      <c r="C39" t="inlineStr">
        <is>
          <t>PRODUTO C</t>
        </is>
      </c>
      <c r="D39">
        <f>MIN(E24,E29)</f>
        <v/>
      </c>
      <c r="E39">
        <f>D39/AC14</f>
        <v/>
      </c>
    </row>
    <row r="40">
      <c r="C40" t="inlineStr">
        <is>
          <t>PRODUTO D</t>
        </is>
      </c>
      <c r="D40">
        <f>MIN(D24,D29)</f>
        <v/>
      </c>
    </row>
    <row r="41">
      <c r="C41" t="inlineStr">
        <is>
          <t>BLEND B10</t>
        </is>
      </c>
      <c r="D41">
        <f>'Outputs BIOS'!D10</f>
        <v/>
      </c>
    </row>
    <row r="42">
      <c r="C42" t="inlineStr">
        <is>
          <t>BLEND B20</t>
        </is>
      </c>
      <c r="D42">
        <f>'Outputs BIOS'!D11</f>
        <v/>
      </c>
    </row>
    <row r="61">
      <c r="U61" t="inlineStr">
        <is>
          <t>Prémio de referência</t>
        </is>
      </c>
      <c r="W61">
        <f>INDEX(PreçosSpot_C_PrémioRef,MATCH(Data_Output,Data_Lista,0))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A12"/>
  <sheetViews>
    <sheetView workbookViewId="0">
      <selection activeCell="A1" sqref="A1"/>
    </sheetView>
  </sheetViews>
  <sheetFormatPr baseColWidth="8" defaultRowHeight="15"/>
  <sheetData>
    <row r="3">
      <c r="D3" t="inlineStr">
        <is>
          <t>Densidade GO</t>
        </is>
      </c>
      <c r="E3" t="inlineStr">
        <is>
          <t>Densidade FAME</t>
        </is>
      </c>
      <c r="F3" t="inlineStr">
        <is>
          <t>Densidade HVO</t>
        </is>
      </c>
    </row>
    <row r="4">
      <c r="D4" t="n">
        <v>0.855</v>
      </c>
      <c r="E4" t="n">
        <v>0.883</v>
      </c>
      <c r="F4" t="n">
        <v>0.777</v>
      </c>
    </row>
    <row r="10">
      <c r="A10" t="inlineStr">
        <is>
          <t>Blend</t>
        </is>
      </c>
      <c r="B10" t="inlineStr">
        <is>
          <t>Ratio</t>
        </is>
      </c>
      <c r="F10" t="inlineStr">
        <is>
          <t>Cot. GO €/m3</t>
        </is>
      </c>
      <c r="G10" t="inlineStr">
        <is>
          <t>FAME €/m3</t>
        </is>
      </c>
      <c r="I10" t="inlineStr">
        <is>
          <t>HVO €/m3</t>
        </is>
      </c>
      <c r="Z10" t="inlineStr">
        <is>
          <t>Cedência blend</t>
        </is>
      </c>
      <c r="AA10" t="inlineStr">
        <is>
          <t>Margem</t>
        </is>
      </c>
    </row>
    <row r="11">
      <c r="A11" t="inlineStr">
        <is>
          <t>BLEND B10</t>
        </is>
      </c>
      <c r="B11" t="n">
        <v>0.1</v>
      </c>
      <c r="F11">
        <f>Outputs!N24/Outputs!H24*$D$4</f>
        <v/>
      </c>
      <c r="G11" t="n">
        <v>1290</v>
      </c>
      <c r="I11" t="n">
        <v>1280</v>
      </c>
      <c r="Z11">
        <f>F11*(1-B11)+$G$11*B11+$AA$11</f>
        <v/>
      </c>
      <c r="AA11" t="n">
        <v>30</v>
      </c>
    </row>
    <row r="12">
      <c r="A12" t="inlineStr">
        <is>
          <t>BLEND B20</t>
        </is>
      </c>
      <c r="B12" t="n">
        <v>0.2</v>
      </c>
      <c r="F12">
        <f>Outputs!N24/Outputs!H24*$D$4</f>
        <v/>
      </c>
      <c r="Z12">
        <f>F12*(1-B12)+$G$11*B12+$AA$11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5:D11"/>
  <sheetViews>
    <sheetView workbookViewId="0">
      <selection activeCell="A1" sqref="A1"/>
    </sheetView>
  </sheetViews>
  <sheetFormatPr baseColWidth="8" defaultRowHeight="15"/>
  <sheetData>
    <row r="5">
      <c r="B5" t="inlineStr">
        <is>
          <t>Blend</t>
        </is>
      </c>
      <c r="D5" t="inlineStr">
        <is>
          <t>Preço €/m3</t>
        </is>
      </c>
    </row>
    <row r="6">
      <c r="B6" t="inlineStr">
        <is>
          <t>Referência BIOS</t>
        </is>
      </c>
      <c r="D6">
        <f>MAX(D10:D11)+8</f>
        <v/>
      </c>
    </row>
    <row r="10">
      <c r="B10" t="inlineStr">
        <is>
          <t>BLEND B10</t>
        </is>
      </c>
      <c r="D10">
        <f>+SUMIFS('Base DFA'!$Z$11:$Z$22,'Base DFA'!$A$11:$A$22,'Outputs BIOS'!B10)+10</f>
        <v/>
      </c>
    </row>
    <row r="11">
      <c r="B11" t="inlineStr">
        <is>
          <t>BLEND B20</t>
        </is>
      </c>
      <c r="D11">
        <f>+SUMIFS('Base DFA'!$Z$11:$Z$22,'Base DFA'!$A$11:$A$22,'Outputs BIOS'!B11)+10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2026-09-16T14:47:17Z</dcterms:created>
  <dcterms:modified xmlns:dcterms="http://purl.org/dc/terms/" xmlns:xsi="http://www.w3.org/2001/XMLSchema-instance" xsi:type="dcterms:W3CDTF">2026-09-16T14:47:17Z</dcterms:modified>
</cp:coreProperties>
</file>